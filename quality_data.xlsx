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a\Dyplomowanie\recon\"/>
    </mc:Choice>
  </mc:AlternateContent>
  <xr:revisionPtr revIDLastSave="0" documentId="13_ncr:1_{F8A120E6-B09D-4A6B-AFA8-0F4151F688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cena" sheetId="2" r:id="rId1"/>
    <sheet name="Skala" sheetId="3" r:id="rId2"/>
    <sheet name="Podsumowanie" sheetId="4" r:id="rId3"/>
  </sheets>
  <definedNames>
    <definedName name="_xlnm._FilterDatabase" localSheetId="0" hidden="1">Ocena!$A$1:$R$419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4" l="1"/>
  <c r="T13" i="4" s="1"/>
  <c r="S12" i="4"/>
  <c r="T12" i="4" s="1"/>
  <c r="S11" i="4"/>
  <c r="T11" i="4" s="1"/>
  <c r="S10" i="4"/>
  <c r="T10" i="4" s="1"/>
  <c r="S9" i="4"/>
  <c r="T9" i="4" s="1"/>
  <c r="S8" i="4"/>
  <c r="T8" i="4" s="1"/>
  <c r="S7" i="4"/>
  <c r="T7" i="4" s="1"/>
  <c r="S6" i="4"/>
  <c r="T6" i="4" s="1"/>
  <c r="S5" i="4"/>
  <c r="T5" i="4" s="1"/>
  <c r="S4" i="4"/>
  <c r="T4" i="4" s="1"/>
  <c r="S3" i="4"/>
  <c r="T3" i="4" s="1"/>
  <c r="Q419" i="2"/>
  <c r="O419" i="2"/>
  <c r="H419" i="2"/>
  <c r="Q418" i="2"/>
  <c r="O418" i="2"/>
  <c r="H418" i="2"/>
  <c r="Q417" i="2"/>
  <c r="O417" i="2"/>
  <c r="H417" i="2"/>
  <c r="Q416" i="2"/>
  <c r="O416" i="2"/>
  <c r="H416" i="2"/>
  <c r="Q415" i="2"/>
  <c r="O415" i="2"/>
  <c r="H415" i="2"/>
  <c r="Q414" i="2"/>
  <c r="O414" i="2"/>
  <c r="H414" i="2"/>
  <c r="Q413" i="2"/>
  <c r="O413" i="2"/>
  <c r="H413" i="2"/>
  <c r="Q412" i="2"/>
  <c r="O412" i="2"/>
  <c r="H412" i="2"/>
  <c r="Q411" i="2"/>
  <c r="O411" i="2"/>
  <c r="H411" i="2"/>
  <c r="Q410" i="2"/>
  <c r="O410" i="2"/>
  <c r="H410" i="2"/>
  <c r="Q409" i="2"/>
  <c r="O409" i="2"/>
  <c r="H409" i="2"/>
  <c r="Q408" i="2"/>
  <c r="O408" i="2"/>
  <c r="H408" i="2"/>
  <c r="Q407" i="2"/>
  <c r="O407" i="2"/>
  <c r="H407" i="2"/>
  <c r="Q406" i="2"/>
  <c r="O406" i="2"/>
  <c r="H406" i="2"/>
  <c r="Q405" i="2"/>
  <c r="O405" i="2"/>
  <c r="H405" i="2"/>
  <c r="Q404" i="2"/>
  <c r="O404" i="2"/>
  <c r="H404" i="2"/>
  <c r="Q403" i="2"/>
  <c r="O403" i="2"/>
  <c r="H403" i="2"/>
  <c r="Q402" i="2"/>
  <c r="O402" i="2"/>
  <c r="H402" i="2"/>
  <c r="Q401" i="2"/>
  <c r="O401" i="2"/>
  <c r="H401" i="2"/>
  <c r="Q400" i="2"/>
  <c r="O400" i="2"/>
  <c r="H400" i="2"/>
  <c r="Q399" i="2"/>
  <c r="O399" i="2"/>
  <c r="H399" i="2"/>
  <c r="Q398" i="2"/>
  <c r="O398" i="2"/>
  <c r="H398" i="2"/>
  <c r="Q397" i="2"/>
  <c r="O397" i="2"/>
  <c r="H397" i="2"/>
  <c r="Q396" i="2"/>
  <c r="O396" i="2"/>
  <c r="H396" i="2"/>
  <c r="Q395" i="2"/>
  <c r="O395" i="2"/>
  <c r="H395" i="2"/>
  <c r="Q394" i="2"/>
  <c r="O394" i="2"/>
  <c r="H394" i="2"/>
  <c r="Q393" i="2"/>
  <c r="O393" i="2"/>
  <c r="H393" i="2"/>
  <c r="Q392" i="2"/>
  <c r="O392" i="2"/>
  <c r="H392" i="2"/>
  <c r="Q391" i="2"/>
  <c r="O391" i="2"/>
  <c r="H391" i="2"/>
  <c r="Q390" i="2"/>
  <c r="O390" i="2"/>
  <c r="H390" i="2"/>
  <c r="Q389" i="2"/>
  <c r="O389" i="2"/>
  <c r="H389" i="2"/>
  <c r="Q388" i="2"/>
  <c r="O388" i="2"/>
  <c r="H388" i="2"/>
  <c r="Q387" i="2"/>
  <c r="O387" i="2"/>
  <c r="H387" i="2"/>
  <c r="Q386" i="2"/>
  <c r="O386" i="2"/>
  <c r="H386" i="2"/>
  <c r="Q385" i="2"/>
  <c r="O385" i="2"/>
  <c r="H385" i="2"/>
  <c r="Q384" i="2"/>
  <c r="O384" i="2"/>
  <c r="H384" i="2"/>
  <c r="Q383" i="2"/>
  <c r="O383" i="2"/>
  <c r="H383" i="2"/>
  <c r="Q382" i="2"/>
  <c r="O382" i="2"/>
  <c r="H382" i="2"/>
  <c r="Q381" i="2"/>
  <c r="O381" i="2"/>
  <c r="H381" i="2"/>
  <c r="Q380" i="2"/>
  <c r="O380" i="2"/>
  <c r="H380" i="2"/>
  <c r="Q379" i="2"/>
  <c r="O379" i="2"/>
  <c r="H379" i="2"/>
  <c r="Q378" i="2"/>
  <c r="O378" i="2"/>
  <c r="H378" i="2"/>
  <c r="Q377" i="2"/>
  <c r="O377" i="2"/>
  <c r="H377" i="2"/>
  <c r="Q376" i="2"/>
  <c r="O376" i="2"/>
  <c r="H376" i="2"/>
  <c r="Q375" i="2"/>
  <c r="O375" i="2"/>
  <c r="H375" i="2"/>
  <c r="Q374" i="2"/>
  <c r="O374" i="2"/>
  <c r="H374" i="2"/>
  <c r="Q373" i="2"/>
  <c r="O373" i="2"/>
  <c r="H373" i="2"/>
  <c r="Q372" i="2"/>
  <c r="O372" i="2"/>
  <c r="H372" i="2"/>
  <c r="Q371" i="2"/>
  <c r="O371" i="2"/>
  <c r="H371" i="2"/>
  <c r="Q370" i="2"/>
  <c r="O370" i="2"/>
  <c r="H370" i="2"/>
  <c r="Q369" i="2"/>
  <c r="O369" i="2"/>
  <c r="H369" i="2"/>
  <c r="Q368" i="2"/>
  <c r="O368" i="2"/>
  <c r="H368" i="2"/>
  <c r="Q367" i="2"/>
  <c r="O367" i="2"/>
  <c r="H367" i="2"/>
  <c r="Q366" i="2"/>
  <c r="O366" i="2"/>
  <c r="H366" i="2"/>
  <c r="Q365" i="2"/>
  <c r="O365" i="2"/>
  <c r="H365" i="2"/>
  <c r="Q364" i="2"/>
  <c r="O364" i="2"/>
  <c r="H364" i="2"/>
  <c r="Q363" i="2"/>
  <c r="O363" i="2"/>
  <c r="H363" i="2"/>
  <c r="Q362" i="2"/>
  <c r="O362" i="2"/>
  <c r="H362" i="2"/>
  <c r="Q361" i="2"/>
  <c r="O361" i="2"/>
  <c r="H361" i="2"/>
  <c r="Q360" i="2"/>
  <c r="O360" i="2"/>
  <c r="H360" i="2"/>
  <c r="Q359" i="2"/>
  <c r="O359" i="2"/>
  <c r="H359" i="2"/>
  <c r="Q358" i="2"/>
  <c r="O358" i="2"/>
  <c r="H358" i="2"/>
  <c r="Q357" i="2"/>
  <c r="O357" i="2"/>
  <c r="H357" i="2"/>
  <c r="Q356" i="2"/>
  <c r="O356" i="2"/>
  <c r="H356" i="2"/>
  <c r="Q355" i="2"/>
  <c r="O355" i="2"/>
  <c r="H355" i="2"/>
  <c r="Q354" i="2"/>
  <c r="O354" i="2"/>
  <c r="H354" i="2"/>
  <c r="Q353" i="2"/>
  <c r="O353" i="2"/>
  <c r="H353" i="2"/>
  <c r="Q352" i="2"/>
  <c r="O352" i="2"/>
  <c r="H352" i="2"/>
  <c r="Q351" i="2"/>
  <c r="O351" i="2"/>
  <c r="H351" i="2"/>
  <c r="Q350" i="2"/>
  <c r="O350" i="2"/>
  <c r="H350" i="2"/>
  <c r="Q349" i="2"/>
  <c r="O349" i="2"/>
  <c r="H349" i="2"/>
  <c r="Q348" i="2"/>
  <c r="O348" i="2"/>
  <c r="H348" i="2"/>
  <c r="Q347" i="2"/>
  <c r="O347" i="2"/>
  <c r="H347" i="2"/>
  <c r="Q346" i="2"/>
  <c r="O346" i="2"/>
  <c r="H346" i="2"/>
  <c r="Q345" i="2"/>
  <c r="O345" i="2"/>
  <c r="H345" i="2"/>
  <c r="Q344" i="2"/>
  <c r="O344" i="2"/>
  <c r="H344" i="2"/>
  <c r="Q343" i="2"/>
  <c r="O343" i="2"/>
  <c r="H343" i="2"/>
  <c r="Q342" i="2"/>
  <c r="O342" i="2"/>
  <c r="H342" i="2"/>
  <c r="Q341" i="2"/>
  <c r="O341" i="2"/>
  <c r="H341" i="2"/>
  <c r="Q340" i="2"/>
  <c r="O340" i="2"/>
  <c r="H340" i="2"/>
  <c r="Q339" i="2"/>
  <c r="O339" i="2"/>
  <c r="H339" i="2"/>
  <c r="Q338" i="2"/>
  <c r="O338" i="2"/>
  <c r="H338" i="2"/>
  <c r="Q337" i="2"/>
  <c r="O337" i="2"/>
  <c r="H337" i="2"/>
  <c r="Q336" i="2"/>
  <c r="O336" i="2"/>
  <c r="H336" i="2"/>
  <c r="Q335" i="2"/>
  <c r="O335" i="2"/>
  <c r="H335" i="2"/>
  <c r="Q334" i="2"/>
  <c r="O334" i="2"/>
  <c r="H334" i="2"/>
  <c r="Q333" i="2"/>
  <c r="O333" i="2"/>
  <c r="H333" i="2"/>
  <c r="Q332" i="2"/>
  <c r="O332" i="2"/>
  <c r="H332" i="2"/>
  <c r="Q331" i="2"/>
  <c r="O331" i="2"/>
  <c r="H331" i="2"/>
  <c r="Q330" i="2"/>
  <c r="O330" i="2"/>
  <c r="H330" i="2"/>
  <c r="Q329" i="2"/>
  <c r="O329" i="2"/>
  <c r="H329" i="2"/>
  <c r="Q328" i="2"/>
  <c r="O328" i="2"/>
  <c r="H328" i="2"/>
  <c r="Q327" i="2"/>
  <c r="O327" i="2"/>
  <c r="H327" i="2"/>
  <c r="Q326" i="2"/>
  <c r="O326" i="2"/>
  <c r="H326" i="2"/>
  <c r="Q325" i="2"/>
  <c r="O325" i="2"/>
  <c r="H325" i="2"/>
  <c r="Q324" i="2"/>
  <c r="O324" i="2"/>
  <c r="H324" i="2"/>
  <c r="Q323" i="2"/>
  <c r="O323" i="2"/>
  <c r="H323" i="2"/>
  <c r="Q322" i="2"/>
  <c r="O322" i="2"/>
  <c r="H322" i="2"/>
  <c r="Q321" i="2"/>
  <c r="O321" i="2"/>
  <c r="H321" i="2"/>
  <c r="Q320" i="2"/>
  <c r="O320" i="2"/>
  <c r="H320" i="2"/>
  <c r="Q319" i="2"/>
  <c r="O319" i="2"/>
  <c r="H319" i="2"/>
  <c r="Q318" i="2"/>
  <c r="O318" i="2"/>
  <c r="H318" i="2"/>
  <c r="Q317" i="2"/>
  <c r="O317" i="2"/>
  <c r="H317" i="2"/>
  <c r="Q316" i="2"/>
  <c r="O316" i="2"/>
  <c r="H316" i="2"/>
  <c r="Q315" i="2"/>
  <c r="O315" i="2"/>
  <c r="H315" i="2"/>
  <c r="Q314" i="2"/>
  <c r="O314" i="2"/>
  <c r="H314" i="2"/>
  <c r="Q313" i="2"/>
  <c r="O313" i="2"/>
  <c r="H313" i="2"/>
  <c r="Q312" i="2"/>
  <c r="O312" i="2"/>
  <c r="H312" i="2"/>
  <c r="Q311" i="2"/>
  <c r="O311" i="2"/>
  <c r="H311" i="2"/>
  <c r="Q310" i="2"/>
  <c r="O310" i="2"/>
  <c r="H310" i="2"/>
  <c r="Q309" i="2"/>
  <c r="O309" i="2"/>
  <c r="H309" i="2"/>
  <c r="Q308" i="2"/>
  <c r="O308" i="2"/>
  <c r="H308" i="2"/>
  <c r="Q307" i="2"/>
  <c r="O307" i="2"/>
  <c r="H307" i="2"/>
  <c r="Q306" i="2"/>
  <c r="O306" i="2"/>
  <c r="H306" i="2"/>
  <c r="Q305" i="2"/>
  <c r="O305" i="2"/>
  <c r="H305" i="2"/>
  <c r="Q304" i="2"/>
  <c r="O304" i="2"/>
  <c r="H304" i="2"/>
  <c r="Q303" i="2"/>
  <c r="O303" i="2"/>
  <c r="H303" i="2"/>
  <c r="Q302" i="2"/>
  <c r="O302" i="2"/>
  <c r="H302" i="2"/>
  <c r="Q301" i="2"/>
  <c r="O301" i="2"/>
  <c r="H301" i="2"/>
  <c r="Q300" i="2"/>
  <c r="O300" i="2"/>
  <c r="H300" i="2"/>
  <c r="Q299" i="2"/>
  <c r="O299" i="2"/>
  <c r="H299" i="2"/>
  <c r="Q298" i="2"/>
  <c r="O298" i="2"/>
  <c r="H298" i="2"/>
  <c r="Q297" i="2"/>
  <c r="O297" i="2"/>
  <c r="H297" i="2"/>
  <c r="Q296" i="2"/>
  <c r="O296" i="2"/>
  <c r="H296" i="2"/>
  <c r="Q295" i="2"/>
  <c r="O295" i="2"/>
  <c r="H295" i="2"/>
  <c r="Q294" i="2"/>
  <c r="O294" i="2"/>
  <c r="H294" i="2"/>
  <c r="Q293" i="2"/>
  <c r="O293" i="2"/>
  <c r="H293" i="2"/>
  <c r="Q292" i="2"/>
  <c r="O292" i="2"/>
  <c r="H292" i="2"/>
  <c r="Q291" i="2"/>
  <c r="O291" i="2"/>
  <c r="H291" i="2"/>
  <c r="Q290" i="2"/>
  <c r="O290" i="2"/>
  <c r="H290" i="2"/>
  <c r="Q289" i="2"/>
  <c r="O289" i="2"/>
  <c r="H289" i="2"/>
  <c r="Q288" i="2"/>
  <c r="O288" i="2"/>
  <c r="H288" i="2"/>
  <c r="Q287" i="2"/>
  <c r="O287" i="2"/>
  <c r="H287" i="2"/>
  <c r="Q286" i="2"/>
  <c r="O286" i="2"/>
  <c r="H286" i="2"/>
  <c r="Q285" i="2"/>
  <c r="O285" i="2"/>
  <c r="H285" i="2"/>
  <c r="Q284" i="2"/>
  <c r="O284" i="2"/>
  <c r="H284" i="2"/>
  <c r="Q283" i="2"/>
  <c r="O283" i="2"/>
  <c r="H283" i="2"/>
  <c r="Q282" i="2"/>
  <c r="O282" i="2"/>
  <c r="H282" i="2"/>
  <c r="Q281" i="2"/>
  <c r="O281" i="2"/>
  <c r="H281" i="2"/>
  <c r="Q280" i="2"/>
  <c r="O280" i="2"/>
  <c r="H280" i="2"/>
  <c r="Q279" i="2"/>
  <c r="O279" i="2"/>
  <c r="H279" i="2"/>
  <c r="Q278" i="2"/>
  <c r="O278" i="2"/>
  <c r="H278" i="2"/>
  <c r="Q277" i="2"/>
  <c r="O277" i="2"/>
  <c r="H277" i="2"/>
  <c r="Q276" i="2"/>
  <c r="O276" i="2"/>
  <c r="H276" i="2"/>
  <c r="Q275" i="2"/>
  <c r="O275" i="2"/>
  <c r="H275" i="2"/>
  <c r="Q274" i="2"/>
  <c r="O274" i="2"/>
  <c r="H274" i="2"/>
  <c r="Q273" i="2"/>
  <c r="O273" i="2"/>
  <c r="H273" i="2"/>
  <c r="Q272" i="2"/>
  <c r="O272" i="2"/>
  <c r="H272" i="2"/>
  <c r="Q271" i="2"/>
  <c r="O271" i="2"/>
  <c r="H271" i="2"/>
  <c r="Q270" i="2"/>
  <c r="O270" i="2"/>
  <c r="H270" i="2"/>
  <c r="Q269" i="2"/>
  <c r="O269" i="2"/>
  <c r="H269" i="2"/>
  <c r="Q268" i="2"/>
  <c r="O268" i="2"/>
  <c r="H268" i="2"/>
  <c r="Q267" i="2"/>
  <c r="O267" i="2"/>
  <c r="H267" i="2"/>
  <c r="Q266" i="2"/>
  <c r="O266" i="2"/>
  <c r="H266" i="2"/>
  <c r="Q265" i="2"/>
  <c r="O265" i="2"/>
  <c r="H265" i="2"/>
  <c r="Q264" i="2"/>
  <c r="O264" i="2"/>
  <c r="H264" i="2"/>
  <c r="Q263" i="2"/>
  <c r="O263" i="2"/>
  <c r="H263" i="2"/>
  <c r="Q262" i="2"/>
  <c r="O262" i="2"/>
  <c r="H262" i="2"/>
  <c r="Q261" i="2"/>
  <c r="O261" i="2"/>
  <c r="H261" i="2"/>
  <c r="Q260" i="2"/>
  <c r="O260" i="2"/>
  <c r="H260" i="2"/>
  <c r="Q259" i="2"/>
  <c r="O259" i="2"/>
  <c r="H259" i="2"/>
  <c r="Q258" i="2"/>
  <c r="O258" i="2"/>
  <c r="H258" i="2"/>
  <c r="Q257" i="2"/>
  <c r="O257" i="2"/>
  <c r="H257" i="2"/>
  <c r="Q256" i="2"/>
  <c r="O256" i="2"/>
  <c r="H256" i="2"/>
  <c r="Q255" i="2"/>
  <c r="O255" i="2"/>
  <c r="H255" i="2"/>
  <c r="Q254" i="2"/>
  <c r="O254" i="2"/>
  <c r="H254" i="2"/>
  <c r="Q253" i="2"/>
  <c r="O253" i="2"/>
  <c r="H253" i="2"/>
  <c r="Q252" i="2"/>
  <c r="O252" i="2"/>
  <c r="H252" i="2"/>
  <c r="Q251" i="2"/>
  <c r="O251" i="2"/>
  <c r="H251" i="2"/>
  <c r="Q250" i="2"/>
  <c r="O250" i="2"/>
  <c r="H250" i="2"/>
  <c r="Q249" i="2"/>
  <c r="O249" i="2"/>
  <c r="H249" i="2"/>
  <c r="Q248" i="2"/>
  <c r="O248" i="2"/>
  <c r="H248" i="2"/>
  <c r="Q247" i="2"/>
  <c r="O247" i="2"/>
  <c r="H247" i="2"/>
  <c r="Q246" i="2"/>
  <c r="O246" i="2"/>
  <c r="H246" i="2"/>
  <c r="Q245" i="2"/>
  <c r="O245" i="2"/>
  <c r="H245" i="2"/>
  <c r="Q244" i="2"/>
  <c r="O244" i="2"/>
  <c r="H244" i="2"/>
  <c r="Q243" i="2"/>
  <c r="O243" i="2"/>
  <c r="H243" i="2"/>
  <c r="Q242" i="2"/>
  <c r="O242" i="2"/>
  <c r="H242" i="2"/>
  <c r="Q241" i="2"/>
  <c r="O241" i="2"/>
  <c r="H241" i="2"/>
  <c r="Q240" i="2"/>
  <c r="O240" i="2"/>
  <c r="H240" i="2"/>
  <c r="Q239" i="2"/>
  <c r="O239" i="2"/>
  <c r="H239" i="2"/>
  <c r="Q238" i="2"/>
  <c r="O238" i="2"/>
  <c r="H238" i="2"/>
  <c r="Q237" i="2"/>
  <c r="O237" i="2"/>
  <c r="H237" i="2"/>
  <c r="Q236" i="2"/>
  <c r="O236" i="2"/>
  <c r="H236" i="2"/>
  <c r="Q235" i="2"/>
  <c r="O235" i="2"/>
  <c r="H235" i="2"/>
  <c r="Q234" i="2"/>
  <c r="O234" i="2"/>
  <c r="H234" i="2"/>
  <c r="Q233" i="2"/>
  <c r="O233" i="2"/>
  <c r="H233" i="2"/>
  <c r="Q232" i="2"/>
  <c r="O232" i="2"/>
  <c r="H232" i="2"/>
  <c r="Q231" i="2"/>
  <c r="O231" i="2"/>
  <c r="H231" i="2"/>
  <c r="Q230" i="2"/>
  <c r="O230" i="2"/>
  <c r="H230" i="2"/>
  <c r="Q229" i="2"/>
  <c r="O229" i="2"/>
  <c r="H229" i="2"/>
  <c r="Q228" i="2"/>
  <c r="O228" i="2"/>
  <c r="H228" i="2"/>
  <c r="Q227" i="2"/>
  <c r="O227" i="2"/>
  <c r="H227" i="2"/>
  <c r="Q226" i="2"/>
  <c r="O226" i="2"/>
  <c r="H226" i="2"/>
  <c r="Q225" i="2"/>
  <c r="O225" i="2"/>
  <c r="H225" i="2"/>
  <c r="Q224" i="2"/>
  <c r="O224" i="2"/>
  <c r="H224" i="2"/>
  <c r="Q223" i="2"/>
  <c r="O223" i="2"/>
  <c r="H223" i="2"/>
  <c r="Q222" i="2"/>
  <c r="O222" i="2"/>
  <c r="H222" i="2"/>
  <c r="Q221" i="2"/>
  <c r="O221" i="2"/>
  <c r="H221" i="2"/>
  <c r="Q220" i="2"/>
  <c r="O220" i="2"/>
  <c r="H220" i="2"/>
  <c r="Q219" i="2"/>
  <c r="O219" i="2"/>
  <c r="H219" i="2"/>
  <c r="Q218" i="2"/>
  <c r="O218" i="2"/>
  <c r="H218" i="2"/>
  <c r="Q217" i="2"/>
  <c r="O217" i="2"/>
  <c r="H217" i="2"/>
  <c r="Q216" i="2"/>
  <c r="O216" i="2"/>
  <c r="H216" i="2"/>
  <c r="Q215" i="2"/>
  <c r="O215" i="2"/>
  <c r="H215" i="2"/>
  <c r="Q214" i="2"/>
  <c r="O214" i="2"/>
  <c r="H214" i="2"/>
  <c r="Q213" i="2"/>
  <c r="O213" i="2"/>
  <c r="H213" i="2"/>
  <c r="Q212" i="2"/>
  <c r="O212" i="2"/>
  <c r="H212" i="2"/>
  <c r="Q211" i="2"/>
  <c r="O211" i="2"/>
  <c r="H211" i="2"/>
  <c r="Q210" i="2"/>
  <c r="O210" i="2"/>
  <c r="H210" i="2"/>
  <c r="Q209" i="2"/>
  <c r="O209" i="2"/>
  <c r="H209" i="2"/>
  <c r="Q208" i="2"/>
  <c r="O208" i="2"/>
  <c r="H208" i="2"/>
  <c r="Q207" i="2"/>
  <c r="O207" i="2"/>
  <c r="H207" i="2"/>
  <c r="Q206" i="2"/>
  <c r="O206" i="2"/>
  <c r="H206" i="2"/>
  <c r="Q205" i="2"/>
  <c r="O205" i="2"/>
  <c r="H205" i="2"/>
  <c r="Q204" i="2"/>
  <c r="O204" i="2"/>
  <c r="H204" i="2"/>
  <c r="Q203" i="2"/>
  <c r="O203" i="2"/>
  <c r="H203" i="2"/>
  <c r="Q202" i="2"/>
  <c r="O202" i="2"/>
  <c r="H202" i="2"/>
  <c r="Q201" i="2"/>
  <c r="O201" i="2"/>
  <c r="H201" i="2"/>
  <c r="Q200" i="2"/>
  <c r="O200" i="2"/>
  <c r="H200" i="2"/>
  <c r="Q199" i="2"/>
  <c r="O199" i="2"/>
  <c r="H199" i="2"/>
  <c r="Q198" i="2"/>
  <c r="O198" i="2"/>
  <c r="H198" i="2"/>
  <c r="Q197" i="2"/>
  <c r="O197" i="2"/>
  <c r="H197" i="2"/>
  <c r="Q196" i="2"/>
  <c r="O196" i="2"/>
  <c r="H196" i="2"/>
  <c r="Q195" i="2"/>
  <c r="O195" i="2"/>
  <c r="H195" i="2"/>
  <c r="Q194" i="2"/>
  <c r="O194" i="2"/>
  <c r="H194" i="2"/>
  <c r="Q193" i="2"/>
  <c r="O193" i="2"/>
  <c r="H193" i="2"/>
  <c r="Q192" i="2"/>
  <c r="O192" i="2"/>
  <c r="H192" i="2"/>
  <c r="Q191" i="2"/>
  <c r="O191" i="2"/>
  <c r="H191" i="2"/>
  <c r="Q190" i="2"/>
  <c r="O190" i="2"/>
  <c r="H190" i="2"/>
  <c r="Q189" i="2"/>
  <c r="O189" i="2"/>
  <c r="H189" i="2"/>
  <c r="Q188" i="2"/>
  <c r="O188" i="2"/>
  <c r="H188" i="2"/>
  <c r="Q187" i="2"/>
  <c r="O187" i="2"/>
  <c r="H187" i="2"/>
  <c r="Q186" i="2"/>
  <c r="O186" i="2"/>
  <c r="H186" i="2"/>
  <c r="Q185" i="2"/>
  <c r="O185" i="2"/>
  <c r="H185" i="2"/>
  <c r="Q184" i="2"/>
  <c r="O184" i="2"/>
  <c r="H184" i="2"/>
  <c r="Q183" i="2"/>
  <c r="O183" i="2"/>
  <c r="H183" i="2"/>
  <c r="Q182" i="2"/>
  <c r="O182" i="2"/>
  <c r="H182" i="2"/>
  <c r="Q181" i="2"/>
  <c r="O181" i="2"/>
  <c r="H181" i="2"/>
  <c r="Q180" i="2"/>
  <c r="O180" i="2"/>
  <c r="H180" i="2"/>
  <c r="Q179" i="2"/>
  <c r="O179" i="2"/>
  <c r="H179" i="2"/>
  <c r="Q178" i="2"/>
  <c r="O178" i="2"/>
  <c r="H178" i="2"/>
  <c r="Q177" i="2"/>
  <c r="O177" i="2"/>
  <c r="H177" i="2"/>
  <c r="Q176" i="2"/>
  <c r="O176" i="2"/>
  <c r="H176" i="2"/>
  <c r="Q175" i="2"/>
  <c r="O175" i="2"/>
  <c r="H175" i="2"/>
  <c r="Q174" i="2"/>
  <c r="O174" i="2"/>
  <c r="H174" i="2"/>
  <c r="Q173" i="2"/>
  <c r="O173" i="2"/>
  <c r="H173" i="2"/>
  <c r="Q172" i="2"/>
  <c r="O172" i="2"/>
  <c r="H172" i="2"/>
  <c r="Q171" i="2"/>
  <c r="O171" i="2"/>
  <c r="H171" i="2"/>
  <c r="Q170" i="2"/>
  <c r="O170" i="2"/>
  <c r="H170" i="2"/>
  <c r="Q169" i="2"/>
  <c r="O169" i="2"/>
  <c r="H169" i="2"/>
  <c r="Q168" i="2"/>
  <c r="O168" i="2"/>
  <c r="H168" i="2"/>
  <c r="Q167" i="2"/>
  <c r="O167" i="2"/>
  <c r="H167" i="2"/>
  <c r="Q166" i="2"/>
  <c r="O166" i="2"/>
  <c r="H166" i="2"/>
  <c r="Q165" i="2"/>
  <c r="O165" i="2"/>
  <c r="H165" i="2"/>
  <c r="Q164" i="2"/>
  <c r="O164" i="2"/>
  <c r="H164" i="2"/>
  <c r="Q163" i="2"/>
  <c r="O163" i="2"/>
  <c r="H163" i="2"/>
  <c r="Q162" i="2"/>
  <c r="O162" i="2"/>
  <c r="H162" i="2"/>
  <c r="Q161" i="2"/>
  <c r="O161" i="2"/>
  <c r="H161" i="2"/>
  <c r="Q160" i="2"/>
  <c r="O160" i="2"/>
  <c r="H160" i="2"/>
  <c r="Q159" i="2"/>
  <c r="O159" i="2"/>
  <c r="H159" i="2"/>
  <c r="Q158" i="2"/>
  <c r="O158" i="2"/>
  <c r="H158" i="2"/>
  <c r="Q157" i="2"/>
  <c r="O157" i="2"/>
  <c r="H157" i="2"/>
  <c r="Q156" i="2"/>
  <c r="O156" i="2"/>
  <c r="H156" i="2"/>
  <c r="Q155" i="2"/>
  <c r="O155" i="2"/>
  <c r="H155" i="2"/>
  <c r="Q154" i="2"/>
  <c r="O154" i="2"/>
  <c r="H154" i="2"/>
  <c r="Q153" i="2"/>
  <c r="O153" i="2"/>
  <c r="H153" i="2"/>
  <c r="Q152" i="2"/>
  <c r="O152" i="2"/>
  <c r="H152" i="2"/>
  <c r="Q151" i="2"/>
  <c r="O151" i="2"/>
  <c r="H151" i="2"/>
  <c r="Q150" i="2"/>
  <c r="O150" i="2"/>
  <c r="H150" i="2"/>
  <c r="Q149" i="2"/>
  <c r="O149" i="2"/>
  <c r="H149" i="2"/>
  <c r="Q148" i="2"/>
  <c r="O148" i="2"/>
  <c r="H148" i="2"/>
  <c r="Q147" i="2"/>
  <c r="O147" i="2"/>
  <c r="H147" i="2"/>
  <c r="Q146" i="2"/>
  <c r="O146" i="2"/>
  <c r="H146" i="2"/>
  <c r="Q145" i="2"/>
  <c r="O145" i="2"/>
  <c r="H145" i="2"/>
  <c r="Q144" i="2"/>
  <c r="O144" i="2"/>
  <c r="H144" i="2"/>
  <c r="Q143" i="2"/>
  <c r="O143" i="2"/>
  <c r="H143" i="2"/>
  <c r="Q142" i="2"/>
  <c r="O142" i="2"/>
  <c r="H142" i="2"/>
  <c r="Q141" i="2"/>
  <c r="O141" i="2"/>
  <c r="H141" i="2"/>
  <c r="Q140" i="2"/>
  <c r="O140" i="2"/>
  <c r="H140" i="2"/>
  <c r="Q139" i="2"/>
  <c r="O139" i="2"/>
  <c r="H139" i="2"/>
  <c r="Q138" i="2"/>
  <c r="O138" i="2"/>
  <c r="H138" i="2"/>
  <c r="Q137" i="2"/>
  <c r="O137" i="2"/>
  <c r="H137" i="2"/>
  <c r="Q136" i="2"/>
  <c r="O136" i="2"/>
  <c r="H136" i="2"/>
  <c r="Q135" i="2"/>
  <c r="O135" i="2"/>
  <c r="H135" i="2"/>
  <c r="Q134" i="2"/>
  <c r="O134" i="2"/>
  <c r="H134" i="2"/>
  <c r="Q133" i="2"/>
  <c r="O133" i="2"/>
  <c r="H133" i="2"/>
  <c r="Q132" i="2"/>
  <c r="O132" i="2"/>
  <c r="H132" i="2"/>
  <c r="Q131" i="2"/>
  <c r="O131" i="2"/>
  <c r="H131" i="2"/>
  <c r="Q130" i="2"/>
  <c r="O130" i="2"/>
  <c r="H130" i="2"/>
  <c r="Q129" i="2"/>
  <c r="O129" i="2"/>
  <c r="H129" i="2"/>
  <c r="Q128" i="2"/>
  <c r="O128" i="2"/>
  <c r="H128" i="2"/>
  <c r="Q127" i="2"/>
  <c r="O127" i="2"/>
  <c r="H127" i="2"/>
  <c r="Q126" i="2"/>
  <c r="O126" i="2"/>
  <c r="H126" i="2"/>
  <c r="Q125" i="2"/>
  <c r="O125" i="2"/>
  <c r="H125" i="2"/>
  <c r="Q124" i="2"/>
  <c r="O124" i="2"/>
  <c r="H124" i="2"/>
  <c r="Q123" i="2"/>
  <c r="O123" i="2"/>
  <c r="H123" i="2"/>
  <c r="Q122" i="2"/>
  <c r="O122" i="2"/>
  <c r="H122" i="2"/>
  <c r="Q121" i="2"/>
  <c r="O121" i="2"/>
  <c r="H121" i="2"/>
  <c r="Q120" i="2"/>
  <c r="O120" i="2"/>
  <c r="H120" i="2"/>
  <c r="Q119" i="2"/>
  <c r="O119" i="2"/>
  <c r="H119" i="2"/>
  <c r="Q118" i="2"/>
  <c r="O118" i="2"/>
  <c r="H118" i="2"/>
  <c r="Q117" i="2"/>
  <c r="O117" i="2"/>
  <c r="H117" i="2"/>
  <c r="Q116" i="2"/>
  <c r="O116" i="2"/>
  <c r="H116" i="2"/>
  <c r="Q115" i="2"/>
  <c r="O115" i="2"/>
  <c r="H115" i="2"/>
  <c r="Q114" i="2"/>
  <c r="O114" i="2"/>
  <c r="H114" i="2"/>
  <c r="Q113" i="2"/>
  <c r="O113" i="2"/>
  <c r="H113" i="2"/>
  <c r="Q112" i="2"/>
  <c r="O112" i="2"/>
  <c r="H112" i="2"/>
  <c r="Q111" i="2"/>
  <c r="O111" i="2"/>
  <c r="H111" i="2"/>
  <c r="Q110" i="2"/>
  <c r="O110" i="2"/>
  <c r="H110" i="2"/>
  <c r="Q109" i="2"/>
  <c r="O109" i="2"/>
  <c r="H109" i="2"/>
  <c r="Q108" i="2"/>
  <c r="O108" i="2"/>
  <c r="H108" i="2"/>
  <c r="Q107" i="2"/>
  <c r="O107" i="2"/>
  <c r="H107" i="2"/>
  <c r="Q106" i="2"/>
  <c r="O106" i="2"/>
  <c r="H106" i="2"/>
  <c r="Q105" i="2"/>
  <c r="O105" i="2"/>
  <c r="H105" i="2"/>
  <c r="Q104" i="2"/>
  <c r="O104" i="2"/>
  <c r="H104" i="2"/>
  <c r="Q103" i="2"/>
  <c r="O103" i="2"/>
  <c r="H103" i="2"/>
  <c r="Q102" i="2"/>
  <c r="O102" i="2"/>
  <c r="H102" i="2"/>
  <c r="Q101" i="2"/>
  <c r="O101" i="2"/>
  <c r="H101" i="2"/>
  <c r="Q100" i="2"/>
  <c r="O100" i="2"/>
  <c r="H100" i="2"/>
  <c r="Q99" i="2"/>
  <c r="O99" i="2"/>
  <c r="H99" i="2"/>
  <c r="Q98" i="2"/>
  <c r="O98" i="2"/>
  <c r="H98" i="2"/>
  <c r="Q97" i="2"/>
  <c r="O97" i="2"/>
  <c r="H97" i="2"/>
  <c r="Q96" i="2"/>
  <c r="O96" i="2"/>
  <c r="H96" i="2"/>
  <c r="Q95" i="2"/>
  <c r="O95" i="2"/>
  <c r="H95" i="2"/>
  <c r="Q94" i="2"/>
  <c r="O94" i="2"/>
  <c r="H94" i="2"/>
  <c r="Q93" i="2"/>
  <c r="O93" i="2"/>
  <c r="H93" i="2"/>
  <c r="Q92" i="2"/>
  <c r="O92" i="2"/>
  <c r="H92" i="2"/>
  <c r="Q91" i="2"/>
  <c r="O91" i="2"/>
  <c r="H91" i="2"/>
  <c r="Q90" i="2"/>
  <c r="O90" i="2"/>
  <c r="H90" i="2"/>
  <c r="Q89" i="2"/>
  <c r="O89" i="2"/>
  <c r="H89" i="2"/>
  <c r="Q88" i="2"/>
  <c r="O88" i="2"/>
  <c r="H88" i="2"/>
  <c r="Q87" i="2"/>
  <c r="O87" i="2"/>
  <c r="H87" i="2"/>
  <c r="Q86" i="2"/>
  <c r="O86" i="2"/>
  <c r="H86" i="2"/>
  <c r="Q85" i="2"/>
  <c r="O85" i="2"/>
  <c r="H85" i="2"/>
  <c r="Q84" i="2"/>
  <c r="O84" i="2"/>
  <c r="H84" i="2"/>
  <c r="Q83" i="2"/>
  <c r="O83" i="2"/>
  <c r="H83" i="2"/>
  <c r="Q82" i="2"/>
  <c r="O82" i="2"/>
  <c r="H82" i="2"/>
  <c r="Q81" i="2"/>
  <c r="O81" i="2"/>
  <c r="H81" i="2"/>
  <c r="Q80" i="2"/>
  <c r="O80" i="2"/>
  <c r="H80" i="2"/>
  <c r="Q79" i="2"/>
  <c r="O79" i="2"/>
  <c r="H79" i="2"/>
  <c r="Q78" i="2"/>
  <c r="O78" i="2"/>
  <c r="H78" i="2"/>
  <c r="Q77" i="2"/>
  <c r="O77" i="2"/>
  <c r="H77" i="2"/>
  <c r="Q76" i="2"/>
  <c r="O76" i="2"/>
  <c r="H76" i="2"/>
  <c r="Q75" i="2"/>
  <c r="O75" i="2"/>
  <c r="H75" i="2"/>
  <c r="Q74" i="2"/>
  <c r="O74" i="2"/>
  <c r="H74" i="2"/>
  <c r="Q73" i="2"/>
  <c r="O73" i="2"/>
  <c r="H73" i="2"/>
  <c r="Q72" i="2"/>
  <c r="O72" i="2"/>
  <c r="H72" i="2"/>
  <c r="Q71" i="2"/>
  <c r="O71" i="2"/>
  <c r="H71" i="2"/>
  <c r="Q70" i="2"/>
  <c r="O70" i="2"/>
  <c r="H70" i="2"/>
  <c r="Q69" i="2"/>
  <c r="O69" i="2"/>
  <c r="H69" i="2"/>
  <c r="Q68" i="2"/>
  <c r="O68" i="2"/>
  <c r="H68" i="2"/>
  <c r="Q67" i="2"/>
  <c r="O67" i="2"/>
  <c r="H67" i="2"/>
  <c r="Q66" i="2"/>
  <c r="O66" i="2"/>
  <c r="H66" i="2"/>
  <c r="Q65" i="2"/>
  <c r="O65" i="2"/>
  <c r="H65" i="2"/>
  <c r="Q64" i="2"/>
  <c r="O64" i="2"/>
  <c r="H64" i="2"/>
  <c r="Q63" i="2"/>
  <c r="O63" i="2"/>
  <c r="H63" i="2"/>
  <c r="Q62" i="2"/>
  <c r="O62" i="2"/>
  <c r="H62" i="2"/>
  <c r="Q61" i="2"/>
  <c r="O61" i="2"/>
  <c r="H61" i="2"/>
  <c r="Q60" i="2"/>
  <c r="O60" i="2"/>
  <c r="H60" i="2"/>
  <c r="Q59" i="2"/>
  <c r="O59" i="2"/>
  <c r="H59" i="2"/>
  <c r="Q58" i="2"/>
  <c r="O58" i="2"/>
  <c r="H58" i="2"/>
  <c r="Q57" i="2"/>
  <c r="O57" i="2"/>
  <c r="H57" i="2"/>
  <c r="Q56" i="2"/>
  <c r="O56" i="2"/>
  <c r="H56" i="2"/>
  <c r="Q55" i="2"/>
  <c r="O55" i="2"/>
  <c r="H55" i="2"/>
  <c r="Q54" i="2"/>
  <c r="O54" i="2"/>
  <c r="H54" i="2"/>
  <c r="Q53" i="2"/>
  <c r="O53" i="2"/>
  <c r="H53" i="2"/>
  <c r="Q52" i="2"/>
  <c r="O52" i="2"/>
  <c r="H52" i="2"/>
  <c r="Q51" i="2"/>
  <c r="O51" i="2"/>
  <c r="H51" i="2"/>
  <c r="Q50" i="2"/>
  <c r="O50" i="2"/>
  <c r="H50" i="2"/>
  <c r="Q49" i="2"/>
  <c r="O49" i="2"/>
  <c r="H49" i="2"/>
  <c r="Q48" i="2"/>
  <c r="O48" i="2"/>
  <c r="H48" i="2"/>
  <c r="Q47" i="2"/>
  <c r="O47" i="2"/>
  <c r="H47" i="2"/>
  <c r="Q46" i="2"/>
  <c r="O46" i="2"/>
  <c r="H46" i="2"/>
  <c r="Q45" i="2"/>
  <c r="O45" i="2"/>
  <c r="H45" i="2"/>
  <c r="Q44" i="2"/>
  <c r="O44" i="2"/>
  <c r="H44" i="2"/>
  <c r="Q43" i="2"/>
  <c r="O43" i="2"/>
  <c r="H43" i="2"/>
  <c r="Q42" i="2"/>
  <c r="O42" i="2"/>
  <c r="H42" i="2"/>
  <c r="Q41" i="2"/>
  <c r="O41" i="2"/>
  <c r="H41" i="2"/>
  <c r="Q40" i="2"/>
  <c r="O40" i="2"/>
  <c r="H40" i="2"/>
  <c r="Q39" i="2"/>
  <c r="O39" i="2"/>
  <c r="H39" i="2"/>
  <c r="Q38" i="2"/>
  <c r="O38" i="2"/>
  <c r="H38" i="2"/>
  <c r="Q37" i="2"/>
  <c r="O37" i="2"/>
  <c r="H37" i="2"/>
  <c r="Q36" i="2"/>
  <c r="O36" i="2"/>
  <c r="H36" i="2"/>
  <c r="Q35" i="2"/>
  <c r="O35" i="2"/>
  <c r="H35" i="2"/>
  <c r="Q34" i="2"/>
  <c r="O34" i="2"/>
  <c r="H34" i="2"/>
  <c r="Q33" i="2"/>
  <c r="O33" i="2"/>
  <c r="H33" i="2"/>
  <c r="Q32" i="2"/>
  <c r="O32" i="2"/>
  <c r="H32" i="2"/>
  <c r="Q31" i="2"/>
  <c r="O31" i="2"/>
  <c r="H31" i="2"/>
  <c r="Q30" i="2"/>
  <c r="O30" i="2"/>
  <c r="H30" i="2"/>
  <c r="Q29" i="2"/>
  <c r="O29" i="2"/>
  <c r="H29" i="2"/>
  <c r="Q28" i="2"/>
  <c r="O28" i="2"/>
  <c r="H28" i="2"/>
  <c r="Q27" i="2"/>
  <c r="O27" i="2"/>
  <c r="H27" i="2"/>
  <c r="Q26" i="2"/>
  <c r="O26" i="2"/>
  <c r="H26" i="2"/>
  <c r="Q25" i="2"/>
  <c r="O25" i="2"/>
  <c r="H25" i="2"/>
  <c r="Q24" i="2"/>
  <c r="O24" i="2"/>
  <c r="H24" i="2"/>
  <c r="Q23" i="2"/>
  <c r="O23" i="2"/>
  <c r="H23" i="2"/>
  <c r="Q22" i="2"/>
  <c r="O22" i="2"/>
  <c r="H22" i="2"/>
  <c r="Q21" i="2"/>
  <c r="O21" i="2"/>
  <c r="H21" i="2"/>
  <c r="Q20" i="2"/>
  <c r="O20" i="2"/>
  <c r="H20" i="2"/>
  <c r="Q19" i="2"/>
  <c r="O19" i="2"/>
  <c r="H19" i="2"/>
  <c r="Q18" i="2"/>
  <c r="O18" i="2"/>
  <c r="H18" i="2"/>
  <c r="Q17" i="2"/>
  <c r="O17" i="2"/>
  <c r="H17" i="2"/>
  <c r="Q16" i="2"/>
  <c r="O16" i="2"/>
  <c r="H16" i="2"/>
  <c r="Q15" i="2"/>
  <c r="O15" i="2"/>
  <c r="H15" i="2"/>
  <c r="Q14" i="2"/>
  <c r="O14" i="2"/>
  <c r="H14" i="2"/>
  <c r="Q13" i="2"/>
  <c r="O13" i="2"/>
  <c r="H13" i="2"/>
  <c r="Q12" i="2"/>
  <c r="O12" i="2"/>
  <c r="H12" i="2"/>
  <c r="Q11" i="2"/>
  <c r="O11" i="2"/>
  <c r="H11" i="2"/>
  <c r="Q10" i="2"/>
  <c r="O10" i="2"/>
  <c r="H10" i="2"/>
  <c r="Q9" i="2"/>
  <c r="O9" i="2"/>
  <c r="H9" i="2"/>
  <c r="Q8" i="2"/>
  <c r="O8" i="2"/>
  <c r="H8" i="2"/>
  <c r="Q7" i="2"/>
  <c r="O7" i="2"/>
  <c r="H7" i="2"/>
  <c r="Q6" i="2"/>
  <c r="O6" i="2"/>
  <c r="H6" i="2"/>
  <c r="Q5" i="2"/>
  <c r="O5" i="2"/>
  <c r="H5" i="2"/>
  <c r="Q4" i="2"/>
  <c r="O4" i="2"/>
  <c r="H4" i="2"/>
  <c r="Q3" i="2"/>
  <c r="O3" i="2"/>
  <c r="H3" i="2"/>
  <c r="Q2" i="2"/>
  <c r="O2" i="2"/>
  <c r="H2" i="2"/>
  <c r="E8" i="4" l="1"/>
  <c r="O8" i="4" s="1"/>
  <c r="E10" i="4"/>
  <c r="M10" i="4" s="1"/>
  <c r="E4" i="4"/>
  <c r="I4" i="4" s="1"/>
  <c r="E6" i="4"/>
  <c r="J6" i="4" s="1"/>
  <c r="E7" i="4"/>
  <c r="Q7" i="4" s="1"/>
  <c r="E12" i="4"/>
  <c r="M12" i="4" s="1"/>
  <c r="E13" i="4"/>
  <c r="H13" i="4" s="1"/>
  <c r="E9" i="4"/>
  <c r="N9" i="4" s="1"/>
  <c r="E11" i="4"/>
  <c r="J11" i="4" s="1"/>
  <c r="E5" i="4"/>
  <c r="G5" i="4" s="1"/>
  <c r="E3" i="4"/>
  <c r="O3" i="4" s="1"/>
  <c r="R10" i="4"/>
  <c r="P10" i="4"/>
  <c r="O10" i="4"/>
  <c r="N10" i="4"/>
  <c r="L10" i="4"/>
  <c r="R8" i="4"/>
  <c r="P8" i="4"/>
  <c r="H8" i="4"/>
  <c r="G8" i="4"/>
  <c r="F8" i="4"/>
  <c r="H7" i="4"/>
  <c r="G7" i="4"/>
  <c r="P7" i="4" l="1"/>
  <c r="F12" i="4"/>
  <c r="I8" i="4"/>
  <c r="J8" i="4"/>
  <c r="K8" i="4"/>
  <c r="L8" i="4"/>
  <c r="M8" i="4"/>
  <c r="Q8" i="4"/>
  <c r="N8" i="4"/>
  <c r="H12" i="4"/>
  <c r="L12" i="4"/>
  <c r="R12" i="4"/>
  <c r="G4" i="4"/>
  <c r="H4" i="4"/>
  <c r="J4" i="4"/>
  <c r="K4" i="4"/>
  <c r="L4" i="4"/>
  <c r="N13" i="4"/>
  <c r="P13" i="4"/>
  <c r="R13" i="4"/>
  <c r="K13" i="4"/>
  <c r="M4" i="4"/>
  <c r="P11" i="4"/>
  <c r="P12" i="4"/>
  <c r="O4" i="4"/>
  <c r="G12" i="4"/>
  <c r="R4" i="4"/>
  <c r="I12" i="4"/>
  <c r="P4" i="4"/>
  <c r="Q4" i="4"/>
  <c r="O11" i="4"/>
  <c r="J7" i="4"/>
  <c r="K9" i="4"/>
  <c r="L7" i="4"/>
  <c r="R9" i="4"/>
  <c r="N7" i="4"/>
  <c r="G6" i="4"/>
  <c r="H3" i="4"/>
  <c r="F4" i="4"/>
  <c r="R7" i="4"/>
  <c r="K6" i="4"/>
  <c r="L6" i="4"/>
  <c r="N12" i="4"/>
  <c r="M6" i="4"/>
  <c r="N6" i="4"/>
  <c r="O6" i="4"/>
  <c r="H5" i="4"/>
  <c r="F5" i="4"/>
  <c r="R6" i="4"/>
  <c r="J13" i="4"/>
  <c r="N4" i="4"/>
  <c r="P6" i="4"/>
  <c r="I5" i="4"/>
  <c r="J5" i="4"/>
  <c r="L13" i="4"/>
  <c r="Q6" i="4"/>
  <c r="I3" i="4"/>
  <c r="J3" i="4"/>
  <c r="O13" i="4"/>
  <c r="Q10" i="4"/>
  <c r="F10" i="4"/>
  <c r="F11" i="4"/>
  <c r="G11" i="4"/>
  <c r="O12" i="4"/>
  <c r="N11" i="4"/>
  <c r="F7" i="4"/>
  <c r="G10" i="4"/>
  <c r="R3" i="4"/>
  <c r="M5" i="4"/>
  <c r="Q11" i="4"/>
  <c r="Q3" i="4"/>
  <c r="L5" i="4"/>
  <c r="H9" i="4"/>
  <c r="Q5" i="4"/>
  <c r="I9" i="4"/>
  <c r="K3" i="4"/>
  <c r="K5" i="4"/>
  <c r="I13" i="4"/>
  <c r="J9" i="4"/>
  <c r="H10" i="4"/>
  <c r="G9" i="4"/>
  <c r="O9" i="4"/>
  <c r="F3" i="4"/>
  <c r="Q9" i="4"/>
  <c r="G3" i="4"/>
  <c r="Q12" i="4"/>
  <c r="Q13" i="4"/>
  <c r="P9" i="4"/>
  <c r="I7" i="4"/>
  <c r="I10" i="4"/>
  <c r="K7" i="4"/>
  <c r="N5" i="4"/>
  <c r="J12" i="4"/>
  <c r="O5" i="4"/>
  <c r="K11" i="4"/>
  <c r="K12" i="4"/>
  <c r="R5" i="4"/>
  <c r="L11" i="4"/>
  <c r="P5" i="4"/>
  <c r="M11" i="4"/>
  <c r="M7" i="4"/>
  <c r="J10" i="4"/>
  <c r="R11" i="4"/>
  <c r="P3" i="4"/>
  <c r="M13" i="4"/>
  <c r="F9" i="4"/>
  <c r="O7" i="4"/>
  <c r="F6" i="4"/>
  <c r="K10" i="4"/>
  <c r="M3" i="4"/>
  <c r="F13" i="4"/>
  <c r="H11" i="4"/>
  <c r="M9" i="4"/>
  <c r="H6" i="4"/>
  <c r="G13" i="4"/>
  <c r="I11" i="4"/>
  <c r="L9" i="4"/>
  <c r="I6" i="4"/>
  <c r="L3" i="4"/>
  <c r="N3" i="4"/>
</calcChain>
</file>

<file path=xl/sharedStrings.xml><?xml version="1.0" encoding="utf-8"?>
<sst xmlns="http://schemas.openxmlformats.org/spreadsheetml/2006/main" count="3421" uniqueCount="569">
  <si>
    <t>Liczba obrazów</t>
  </si>
  <si>
    <t>Lp.</t>
  </si>
  <si>
    <t>Nazwa przypadku</t>
  </si>
  <si>
    <t>Zbiór</t>
  </si>
  <si>
    <t>Scena</t>
  </si>
  <si>
    <t>Kategoria scen</t>
  </si>
  <si>
    <t>Liczba obrazów (scenariusz)</t>
  </si>
  <si>
    <t>Model</t>
  </si>
  <si>
    <t>Rekonstrukcja GLB</t>
  </si>
  <si>
    <t>Obrazy źródłowe</t>
  </si>
  <si>
    <t>Status</t>
  </si>
  <si>
    <t>C – kompletność</t>
  </si>
  <si>
    <t>G – geometria</t>
  </si>
  <si>
    <t>A – artefakty</t>
  </si>
  <si>
    <t>D – struktura i szczegóły</t>
  </si>
  <si>
    <t>Q – suma</t>
  </si>
  <si>
    <t>Uwagi jakościowe</t>
  </si>
  <si>
    <t>Kontrola</t>
  </si>
  <si>
    <t>Katalog źródłowy (WSL)</t>
  </si>
  <si>
    <t>eth3d_botanical_garden_1</t>
  </si>
  <si>
    <t>ETH3D</t>
  </si>
  <si>
    <t>botanical_garden</t>
  </si>
  <si>
    <t>Naturalne</t>
  </si>
  <si>
    <t>VGGT</t>
  </si>
  <si>
    <t>DSC_0854.JPG</t>
  </si>
  <si>
    <t>Oceniono</t>
  </si>
  <si>
    <t>/home/kamil/dataset/eth3d/botanical_garden/images/scen_1</t>
  </si>
  <si>
    <t>MapAnything</t>
  </si>
  <si>
    <t>eth3d_botanical_garden_2</t>
  </si>
  <si>
    <t>DSC_0852.JPG
DSC_0854.JPG</t>
  </si>
  <si>
    <t>/home/kamil/dataset/eth3d/botanical_garden/images/scen_2</t>
  </si>
  <si>
    <t>MASt3R</t>
  </si>
  <si>
    <t>eth3d_botanical_garden_3</t>
  </si>
  <si>
    <t>DSC_0850.JPG
DSC_0852.JPG
DSC_0854.JPG
DSC_0857.JPG</t>
  </si>
  <si>
    <t>/home/kamil/dataset/eth3d/botanical_garden/images/scen_3</t>
  </si>
  <si>
    <t>eth3d_botanical_garden_4</t>
  </si>
  <si>
    <t>DSC_0844.JPG
DSC_0846.JPG
DSC_0848.JPG
DSC_0850.JPG
DSC_0852.JPG
DSC_0854.JPG
DSC_0856.JPG
DSC_0857.JPG</t>
  </si>
  <si>
    <t>/home/kamil/dataset/eth3d/botanical_garden/images/scen_4</t>
  </si>
  <si>
    <t>eth3d_boulders_scen_1</t>
  </si>
  <si>
    <t>boulders</t>
  </si>
  <si>
    <t>Zewnętrzne</t>
  </si>
  <si>
    <t>DSC_0821.JPG</t>
  </si>
  <si>
    <t>/home/kamil/dataset/eth3d/boulders/images/scen_1</t>
  </si>
  <si>
    <t>eth3d_boulders_scen_2</t>
  </si>
  <si>
    <t>DSC_0819.JPG
DSC_0821.JPG</t>
  </si>
  <si>
    <t>/home/kamil/dataset/eth3d/boulders/images/scen_2</t>
  </si>
  <si>
    <t>eth3d_boulders_scen_3</t>
  </si>
  <si>
    <t>DSC_0817.JPG
DSC_0819.JPG
DSC_0821.JPG
DSC_0823.JPG</t>
  </si>
  <si>
    <t>/home/kamil/dataset/eth3d/boulders/images/scen_3</t>
  </si>
  <si>
    <t>eth3d_boulders_scen_4</t>
  </si>
  <si>
    <t>DSC_0817.JPG
DSC_0818.JPG
DSC_0819.JPG
DSC_0820.JPG
DSC_0821.JPG
DSC_0822.JPG
DSC_0823.JPG
DSC_0824.JPG</t>
  </si>
  <si>
    <t>/home/kamil/dataset/eth3d/boulders/images/scen_4</t>
  </si>
  <si>
    <t>eth3d_bridge_scen_1</t>
  </si>
  <si>
    <t>bridge</t>
  </si>
  <si>
    <t>Wewnętrzne</t>
  </si>
  <si>
    <t>DSC_1256.JPG</t>
  </si>
  <si>
    <t>/home/kamil/dataset/eth3d/bridge/images/scen_1</t>
  </si>
  <si>
    <t>eth3d_bridge_scen_2</t>
  </si>
  <si>
    <t>DSC_1256.JPG
DSC_1258.JPG</t>
  </si>
  <si>
    <t>/home/kamil/dataset/eth3d/bridge/images/scen_2</t>
  </si>
  <si>
    <t>eth3d_bridge_scen_3</t>
  </si>
  <si>
    <t>DSC_1256.JPG
DSC_1258.JPG
DSC_1260.JPG
DSC_1262.JPG</t>
  </si>
  <si>
    <t>/home/kamil/dataset/eth3d/bridge/images/scen_3</t>
  </si>
  <si>
    <t>eth3d_bridge_scen_4</t>
  </si>
  <si>
    <t>DSC_1249.JPG
DSC_1256.JPG
DSC_1258.JPG
DSC_1260.JPG
DSC_1262.JPG
DSC_1265.JPG
DSC_1267.JPG
DSC_1269.JPG</t>
  </si>
  <si>
    <t>/home/kamil/dataset/eth3d/bridge/images/scen_4</t>
  </si>
  <si>
    <t>custom_bush_1_scen_1</t>
  </si>
  <si>
    <t>Custom</t>
  </si>
  <si>
    <t>bush_1</t>
  </si>
  <si>
    <t>IMG_9126.jpg</t>
  </si>
  <si>
    <t>/home/kamil/dataset/custom/bush_1/images/scen_1</t>
  </si>
  <si>
    <t>custom_bush_1_scen_2</t>
  </si>
  <si>
    <t>IMG_9123.jpg
IMG_9126.jpg</t>
  </si>
  <si>
    <t>/home/kamil/dataset/custom/bush_1/images/scen_2</t>
  </si>
  <si>
    <t>custom_bush_1_scen_3</t>
  </si>
  <si>
    <t>IMG_9123.jpg
IMG_9126.jpg
IMG_9128.jpg
IMG_9129.jpg</t>
  </si>
  <si>
    <t>/home/kamil/dataset/custom/bush_1/images/scen_3</t>
  </si>
  <si>
    <t>custom_bush_1_scen_4</t>
  </si>
  <si>
    <t>IMG_9122.jpg
IMG_9123.jpg
IMG_9124.jpg
IMG_9125.jpg
IMG_9126.jpg
IMG_9127.jpg
IMG_9128.jpg
IMG_9129.jpg</t>
  </si>
  <si>
    <t>/home/kamil/dataset/custom/bush_1/images/scen_4</t>
  </si>
  <si>
    <t>custom_bush_2_scen_1</t>
  </si>
  <si>
    <t>bush_2</t>
  </si>
  <si>
    <t>IMG_9131.jpg</t>
  </si>
  <si>
    <t>/home/kamil/dataset/custom/bush_2/images/scen_1</t>
  </si>
  <si>
    <t>custom_bush_2_scen_2</t>
  </si>
  <si>
    <t>IMG_9131.jpg
IMG_9136.jpg</t>
  </si>
  <si>
    <t>/home/kamil/dataset/custom/bush_2/images/scen_2</t>
  </si>
  <si>
    <t>custom_bush_2_scen_3</t>
  </si>
  <si>
    <t>IMG_9131.jpg
IMG_9134.jpg
IMG_9136.jpg
IMG_9138.jpg</t>
  </si>
  <si>
    <t>/home/kamil/dataset/custom/bush_2/images/scen_3</t>
  </si>
  <si>
    <t>custom_bush_2_scen_4</t>
  </si>
  <si>
    <t>IMG_9131.jpg
IMG_9132.jpg
IMG_9133.jpg
IMG_9134.jpg
IMG_9135.jpg
IMG_9136.jpg
IMG_9137.jpg
IMG_9138.jpg</t>
  </si>
  <si>
    <t>/home/kamil/dataset/custom/bush_2/images/scen_4</t>
  </si>
  <si>
    <t>custom_cafe_scen_1</t>
  </si>
  <si>
    <t>cafe</t>
  </si>
  <si>
    <t>IMG_8806.jpg</t>
  </si>
  <si>
    <t>/home/kamil/dataset/custom/cafe/images/scen_1</t>
  </si>
  <si>
    <t>custom_cafe_scen_2</t>
  </si>
  <si>
    <t>IMG_8806.jpg
IMG_8810.jpg</t>
  </si>
  <si>
    <t>/home/kamil/dataset/custom/cafe/images/scen_2</t>
  </si>
  <si>
    <t>custom_cafe_scen_3</t>
  </si>
  <si>
    <t>IMG_8806.jpg
IMG_8808.jpg
IMG_8810.jpg
IMG_8812.jpg</t>
  </si>
  <si>
    <t>/home/kamil/dataset/custom/cafe/images/scen_3</t>
  </si>
  <si>
    <t>custom_cafe_scen_4</t>
  </si>
  <si>
    <t>IMG_8804.jpg
IMG_8806.jpg
IMG_8808.jpg
IMG_8810.jpg
IMG_8811.jpg
IMG_8812.jpg
IMG_8813.jpg
IMG_8814.jpg</t>
  </si>
  <si>
    <t>/home/kamil/dataset/custom/cafe/images/scen_4</t>
  </si>
  <si>
    <t>custom_church_scen_1</t>
  </si>
  <si>
    <t>church</t>
  </si>
  <si>
    <t>IMG_8793.jpg</t>
  </si>
  <si>
    <t>/home/kamil/dataset/custom/church/images/scen_1</t>
  </si>
  <si>
    <t>custom_church_scen_2</t>
  </si>
  <si>
    <t>IMG_8793.jpg
IMG_8797.jpg</t>
  </si>
  <si>
    <t>/home/kamil/dataset/custom/church/images/scen_2</t>
  </si>
  <si>
    <t>custom_church_scen_3</t>
  </si>
  <si>
    <t>IMG_8789.jpg
IMG_8793.jpg
IMG_8797.jpg
IMG_8801.jpg</t>
  </si>
  <si>
    <t>/home/kamil/dataset/custom/church/images/scen_3</t>
  </si>
  <si>
    <t>custom_church_scen_4</t>
  </si>
  <si>
    <t>IMG_8789.jpg
IMG_8790.jpg
IMG_8791.jpg
IMG_8793.jpg
IMG_8795.jpg
IMG_8797.jpg
IMG_8799.jpg
IMG_8801.jpg</t>
  </si>
  <si>
    <t>/home/kamil/dataset/custom/church/images/scen_4</t>
  </si>
  <si>
    <t>eth3d_exhibition_hall_scen_1</t>
  </si>
  <si>
    <t>exhibition_hall</t>
  </si>
  <si>
    <t>DSC_1766.JPG</t>
  </si>
  <si>
    <t>/home/kamil/dataset/eth3d/exhibition_hall/images/scen_1</t>
  </si>
  <si>
    <t>eth3d_exhibition_hall_scen_2</t>
  </si>
  <si>
    <t>DSC_1766.JPG
DSC_1782.JPG</t>
  </si>
  <si>
    <t>/home/kamil/dataset/eth3d/exhibition_hall/images/scen_2</t>
  </si>
  <si>
    <t>Niepowodzenie rekonstrukcji</t>
  </si>
  <si>
    <t>eth3d_exhibition_hall_scen_3</t>
  </si>
  <si>
    <t>DSC_1766.JPG
DSC_1768.JPG
DSC_1771.JPG
DSC_1773.JPG</t>
  </si>
  <si>
    <t>/home/kamil/dataset/eth3d/exhibition_hall/images/scen_3</t>
  </si>
  <si>
    <t>eth3d_exhibition_hall_scen_4</t>
  </si>
  <si>
    <t>DSC_1766.JPG
DSC_1768.JPG
DSC_1771.JPG
DSC_1773.JPG
DSC_1775.JPG
DSC_1777.JPG
DSC_1779.JPG
DSC_1782.JPG</t>
  </si>
  <si>
    <t>/home/kamil/dataset/eth3d/exhibition_hall/images/scen_4</t>
  </si>
  <si>
    <t>llff_fern_scen_1</t>
  </si>
  <si>
    <t>LLFF</t>
  </si>
  <si>
    <t>fern</t>
  </si>
  <si>
    <t>IMG_4026.JPG</t>
  </si>
  <si>
    <t>/home/kamil/dataset/nerf_llff_data/fern/images/scen_1</t>
  </si>
  <si>
    <t>llff_fern_scen_2</t>
  </si>
  <si>
    <t>IMG_4029.JPG
IMG_4039.JPG</t>
  </si>
  <si>
    <t>/home/kamil/dataset/nerf_llff_data/fern/images/scen_2</t>
  </si>
  <si>
    <t>llff_fern_scen_3</t>
  </si>
  <si>
    <t>IMG_4029.JPG
IMG_4033.JPG
IMG_4039.JPG
IMG_4043.JPG</t>
  </si>
  <si>
    <t>/home/kamil/dataset/nerf_llff_data/fern/images/scen_3</t>
  </si>
  <si>
    <t>llff_fern_scen_4</t>
  </si>
  <si>
    <t>IMG_4026.JPG
IMG_4029.JPG
IMG_4032.JPG
IMG_4033.JPG
IMG_4036.JPG
IMG_4039.JPG
IMG_4040.JPG
IMG_4043.JPG</t>
  </si>
  <si>
    <t>/home/kamil/dataset/nerf_llff_data/fern/images/scen_4</t>
  </si>
  <si>
    <t>llff_flower_scen_1</t>
  </si>
  <si>
    <t>flower</t>
  </si>
  <si>
    <t>IMG_2962.JPG</t>
  </si>
  <si>
    <t>/home/kamil/dataset/nerf_llff_data/flower/images/scen_1</t>
  </si>
  <si>
    <t>llff_flower_scen_2</t>
  </si>
  <si>
    <t>IMG_2962.JPG
IMG_2970.JPG</t>
  </si>
  <si>
    <t>/home/kamil/dataset/nerf_llff_data/flower/images/scen_2</t>
  </si>
  <si>
    <t>llff_flower_scen_3</t>
  </si>
  <si>
    <t>IMG_2962.JPG
IMG_2970.JPG
IMG_2974.JPG
IMG_2986.JPG</t>
  </si>
  <si>
    <t>/home/kamil/dataset/nerf_llff_data/flower/images/scen_3</t>
  </si>
  <si>
    <t>llff_flower_scen_4</t>
  </si>
  <si>
    <t>IMG_2962.JPG
IMG_2966.JPG
IMG_2970.JPG
IMG_2974.JPG
IMG_2978.JPG
IMG_2982.JPG
IMG_2986.JPG
IMG_2990.JPG</t>
  </si>
  <si>
    <t>/home/kamil/dataset/nerf_llff_data/flower/images/scen_4</t>
  </si>
  <si>
    <t>llff_fortress_scen_1</t>
  </si>
  <si>
    <t>fortress</t>
  </si>
  <si>
    <t>Obiektowe</t>
  </si>
  <si>
    <t>IMG_1820.JPG</t>
  </si>
  <si>
    <t>/home/kamil/dataset/nerf_llff_data/fortress/images/scen_1</t>
  </si>
  <si>
    <t>llff_fortress_scen_2</t>
  </si>
  <si>
    <t>IMG_1800.JPG
IMG_1820.JPG</t>
  </si>
  <si>
    <t>/home/kamil/dataset/nerf_llff_data/fortress/images/scen_2</t>
  </si>
  <si>
    <t>llff_fortress_scen_3</t>
  </si>
  <si>
    <t>IMG_1800.JPG
IMG_1820.JPG
IMG_1830.JPG
IMG_1835.JPG</t>
  </si>
  <si>
    <t>/home/kamil/dataset/nerf_llff_data/fortress/images/scen_3</t>
  </si>
  <si>
    <t>llff_fortress_scen_4</t>
  </si>
  <si>
    <t>IMG_1800.JPG
IMG_1805.JPG
IMG_1810.JPG
IMG_1815.JPG
IMG_1820.JPG
IMG_1825.JPG
IMG_1830.JPG
IMG_1835.JPG</t>
  </si>
  <si>
    <t>/home/kamil/dataset/nerf_llff_data/fortress/images/scen_4</t>
  </si>
  <si>
    <t>custom_gate_scen_1</t>
  </si>
  <si>
    <t>gate</t>
  </si>
  <si>
    <t>IMG_8826.jpg</t>
  </si>
  <si>
    <t>/home/kamil/dataset/custom/gate/images/scen_1</t>
  </si>
  <si>
    <t>custom_gate_scen_2</t>
  </si>
  <si>
    <t>IMG_8818.jpg
IMG_8826.jpg</t>
  </si>
  <si>
    <t>/home/kamil/dataset/custom/gate/images/scen_2</t>
  </si>
  <si>
    <t>custom_gate_scen_3</t>
  </si>
  <si>
    <t>IMG_8818.jpg
IMG_8823.jpg
IMG_8826.jpg
IMG_8829.jpg</t>
  </si>
  <si>
    <t>/home/kamil/dataset/custom/gate/images/scen_3</t>
  </si>
  <si>
    <t>custom_gate_scen_4</t>
  </si>
  <si>
    <t>IMG_8816.jpg
IMG_8818.jpg
IMG_8822.jpg
IMG_8823.jpg
IMG_8824.jpg
IMG_8826.jpg
IMG_8828.jpg
IMG_8829.jpg</t>
  </si>
  <si>
    <t>/home/kamil/dataset/custom/gate/images/scen_4</t>
  </si>
  <si>
    <t>llff_horns_scen_1</t>
  </si>
  <si>
    <t>horns</t>
  </si>
  <si>
    <t>DJI_20200223_163101_947.jpg</t>
  </si>
  <si>
    <t>/home/kamil/dataset/nerf_llff_data/horns/images/scen_1</t>
  </si>
  <si>
    <t>llff_horns_scen_2</t>
  </si>
  <si>
    <t>DJI_20200223_163101_947.jpg
DJI_20200223_163225_243.jpg</t>
  </si>
  <si>
    <t>/home/kamil/dataset/nerf_llff_data/horns/images/scen_2</t>
  </si>
  <si>
    <t>llff_horns_scen_3</t>
  </si>
  <si>
    <t>DJI_20200223_163022_557.jpg
DJI_20200223_163101_947.jpg
DJI_20200223_163209_763.jpg
DJI_20200223_163225_243.jpg</t>
  </si>
  <si>
    <t>/home/kamil/dataset/nerf_llff_data/horns/images/scen_3</t>
  </si>
  <si>
    <t>llff_horns_scen_4</t>
  </si>
  <si>
    <t>DJI_20200223_163016_842.jpg
DJI_20200223_163022_557.jpg
DJI_20200223_163046_438.jpg
DJI_20200223_163056_982.jpg
DJI_20200223_163101_947.jpg
DJI_20200223_163201_633.jpg
DJI_20200223_163209_763.jpg
DJI_20200223_163225_243.jpg</t>
  </si>
  <si>
    <t>/home/kamil/dataset/nerf_llff_data/horns/images/scen_4</t>
  </si>
  <si>
    <t>custom_kettle_scen_1</t>
  </si>
  <si>
    <t>kettle</t>
  </si>
  <si>
    <t>IMG_9036.jpg</t>
  </si>
  <si>
    <t>/home/kamil/dataset/custom/kettle/images/scen_1</t>
  </si>
  <si>
    <t>custom_kettle_scen_2</t>
  </si>
  <si>
    <t>IMG_9036.jpg
IMG_9040.jpg</t>
  </si>
  <si>
    <t>/home/kamil/dataset/custom/kettle/images/scen_2</t>
  </si>
  <si>
    <t>custom_kettle_scen_3</t>
  </si>
  <si>
    <t>IMG_9036.jpg
IMG_9038.jpg
IMG_9040.jpg
IMG_9042.jpg</t>
  </si>
  <si>
    <t>/home/kamil/dataset/custom/kettle/images/scen_3</t>
  </si>
  <si>
    <t>custom_kettle_scen_4</t>
  </si>
  <si>
    <t>IMG_9035.jpg
IMG_9036.jpg
IMG_9037.jpg
IMG_9038.jpg
IMG_9039.jpg
IMG_9040.jpg
IMG_9041.jpg
IMG_9042.jpg</t>
  </si>
  <si>
    <t>/home/kamil/dataset/custom/kettle/images/scen_4</t>
  </si>
  <si>
    <t>llff_leaves_scen_1</t>
  </si>
  <si>
    <t>leaves</t>
  </si>
  <si>
    <t>IMG_2997.JPG</t>
  </si>
  <si>
    <t>/home/kamil/dataset/nerf_llff_data/leaves/images/scen_1</t>
  </si>
  <si>
    <t>llff_leaves_scen_2</t>
  </si>
  <si>
    <t>IMG_2997.JPG
IMG_3010.JPG</t>
  </si>
  <si>
    <t>/home/kamil/dataset/nerf_llff_data/leaves/images/scen_2</t>
  </si>
  <si>
    <t>llff_leaves_scen_3</t>
  </si>
  <si>
    <t>IMG_2997.JPG
IMG_3010.JPG
IMG_3018.JPG
IMG_3022.JPG</t>
  </si>
  <si>
    <t>/home/kamil/dataset/nerf_llff_data/leaves/images/scen_3</t>
  </si>
  <si>
    <t>llff_leaves_scen_4</t>
  </si>
  <si>
    <t>IMG_2997.JPG
IMG_3002.JPG
IMG_3006.JPG
IMG_3010.JPG
IMG_3014.JPG
IMG_3016.JPG
IMG_3018.JPG
IMG_3022.JPG</t>
  </si>
  <si>
    <t>/home/kamil/dataset/nerf_llff_data/leaves/images/scen_4</t>
  </si>
  <si>
    <t>eth3d_lecture_room_scen_1</t>
  </si>
  <si>
    <t>lecture_room</t>
  </si>
  <si>
    <t>DSC_0905.JPG</t>
  </si>
  <si>
    <t>/home/kamil/dataset/eth3d/lecture_room/images/scen_1</t>
  </si>
  <si>
    <t>eth3d_lecture_room_scen_2</t>
  </si>
  <si>
    <t>DSC_0905.JPG
DSC_0915.JPG</t>
  </si>
  <si>
    <t>/home/kamil/dataset/eth3d/lecture_room/images/scen_2</t>
  </si>
  <si>
    <t>eth3d_lecture_room_scen_3</t>
  </si>
  <si>
    <t>DSC_0904.JPG
DSC_0905.JPG
DSC_0907.JPG
DSC_0915.JPG</t>
  </si>
  <si>
    <t>/home/kamil/dataset/eth3d/lecture_room/images/scen_3</t>
  </si>
  <si>
    <t>eth3d_lecture_room_scen_4</t>
  </si>
  <si>
    <t>DSC_0899.JPG
DSC_0901.JPG
DSC_0903.JPG
DSC_0904.JPG
DSC_0905.JPG
DSC_0907.JPG
DSC_0915.JPG
DSC_0917.JPG</t>
  </si>
  <si>
    <t>/home/kamil/dataset/eth3d/lecture_room/images/scen_4</t>
  </si>
  <si>
    <t>eth3d_lounge_scen_1</t>
  </si>
  <si>
    <t>lounge</t>
  </si>
  <si>
    <t>DSC_1098.JPG</t>
  </si>
  <si>
    <t>/home/kamil/dataset/eth3d/lounge/images/scen_1</t>
  </si>
  <si>
    <t>eth3d_lounge_scen_2</t>
  </si>
  <si>
    <t>DSC_1096.JPG
DSC_1098.JPG</t>
  </si>
  <si>
    <t>/home/kamil/dataset/eth3d/lounge/images/scen_2</t>
  </si>
  <si>
    <t>eth3d_lounge_scen_3</t>
  </si>
  <si>
    <t>DSC_1096.JPG
DSC_1098.JPG
DSC_1099.JPG
DSC_1100.JPG</t>
  </si>
  <si>
    <t>/home/kamil/dataset/eth3d/lounge/images/scen_3</t>
  </si>
  <si>
    <t>eth3d_lounge_scen_4</t>
  </si>
  <si>
    <t>DSC_1095.JPG
DSC_1096.JPG
DSC_1097.JPG
DSC_1098.JPG
DSC_1099.JPG
DSC_1100.JPG
DSC_1112.JPG
DSC_1116.JPG</t>
  </si>
  <si>
    <t>/home/kamil/dataset/eth3d/lounge/images/scen_4</t>
  </si>
  <si>
    <t>custom_millenium_falcon_scen_1</t>
  </si>
  <si>
    <t>millenium_falcon</t>
  </si>
  <si>
    <t>IMG_8989.jpg</t>
  </si>
  <si>
    <t>/home/kamil/dataset/custom/millenium_falcon/images/scen_1</t>
  </si>
  <si>
    <t>custom_millenium_falcon_scen_2</t>
  </si>
  <si>
    <t>IMG_8989.jpg
IMG_8995.jpg</t>
  </si>
  <si>
    <t>/home/kamil/dataset/custom/millenium_falcon/images/scen_2</t>
  </si>
  <si>
    <t>custom_millenium_falcon_scen_3</t>
  </si>
  <si>
    <t>IMG_8988.jpg
IMG_8989.jpg
IMG_8992.jpg
IMG_8995.jpg</t>
  </si>
  <si>
    <t>/home/kamil/dataset/custom/millenium_falcon/images/scen_3</t>
  </si>
  <si>
    <t>custom_millenium_falcon_scen_4</t>
  </si>
  <si>
    <t>IMG_8988.jpg
IMG_8989.jpg
IMG_8990.jpg
IMG_8991.jpg
IMG_8992.jpg
IMG_8993.jpg
IMG_8994.jpg
IMG_8995.jpg</t>
  </si>
  <si>
    <t>/home/kamil/dataset/custom/millenium_falcon/images/scen_4</t>
  </si>
  <si>
    <t>custom_miscellaneous_scen_1</t>
  </si>
  <si>
    <t>miscellaneous</t>
  </si>
  <si>
    <t>IMG_9006.jpg</t>
  </si>
  <si>
    <t>/home/kamil/dataset/custom/miscellaneous/images/scen_1</t>
  </si>
  <si>
    <t>custom_miscellaneous_scen_2</t>
  </si>
  <si>
    <t>IMG_9006.jpg
IMG_9012.jpg</t>
  </si>
  <si>
    <t>/home/kamil/dataset/custom/miscellaneous/images/scen_2</t>
  </si>
  <si>
    <t>custom_miscellaneous_scen_3</t>
  </si>
  <si>
    <t>IMG_9006.jpg
IMG_9008.jpg
IMG_9010.jpg
IMG_9012.jpg</t>
  </si>
  <si>
    <t>/home/kamil/dataset/custom/miscellaneous/images/scen_3</t>
  </si>
  <si>
    <t>custom_miscellaneous_scen_4</t>
  </si>
  <si>
    <t>IMG_9005.jpg
IMG_9006.jpg
IMG_9007.jpg
IMG_9008.jpg
IMG_9009.jpg
IMG_9010.jpg
IMG_9011.jpg
IMG_9012.jpg</t>
  </si>
  <si>
    <t>/home/kamil/dataset/custom/miscellaneous/images/scen_4</t>
  </si>
  <si>
    <t>custom_mural_bird_scen_1</t>
  </si>
  <si>
    <t>mural_bird</t>
  </si>
  <si>
    <t>IMG_8692.jpg</t>
  </si>
  <si>
    <t>/home/kamil/dataset/custom/mural_bird/images/scen_1</t>
  </si>
  <si>
    <t>custom_mural_bird_scen_2</t>
  </si>
  <si>
    <t>IMG_8692.jpg
IMG_8695.jpg</t>
  </si>
  <si>
    <t>/home/kamil/dataset/custom/mural_bird/images/scen_2</t>
  </si>
  <si>
    <t>custom_mural_bird_scen_3</t>
  </si>
  <si>
    <t>IMG_8688.jpg
IMG_8692.jpg
IMG_8695.jpg
IMG_8697.jpg</t>
  </si>
  <si>
    <t>/home/kamil/dataset/custom/mural_bird/images/scen_3</t>
  </si>
  <si>
    <t>custom_mural_bird_scen_4</t>
  </si>
  <si>
    <t>IMG_8686.jpg
IMG_8688.jpg
IMG_8690.jpg
IMG_8692.jpg
IMG_8693.jpg
IMG_8695.jpg
IMG_8696.jpg
IMG_8697.jpg</t>
  </si>
  <si>
    <t>/home/kamil/dataset/custom/mural_bird/images/scen_4</t>
  </si>
  <si>
    <t>custom_mural_king_scen_1</t>
  </si>
  <si>
    <t>mural_king</t>
  </si>
  <si>
    <t>IMG_8732.jpg</t>
  </si>
  <si>
    <t>/home/kamil/dataset/custom/mural_king/images/scen_1</t>
  </si>
  <si>
    <t>custom_mural_king_scen_2</t>
  </si>
  <si>
    <t>IMG_8732.jpg
IMG_8740.jpg</t>
  </si>
  <si>
    <t>/home/kamil/dataset/custom/mural_king/images/scen_2</t>
  </si>
  <si>
    <t>custom_mural_king_scen_3</t>
  </si>
  <si>
    <t>IMG_8727.jpg
IMG_8732.jpg
IMG_8737.jpg
IMG_8742.jpg</t>
  </si>
  <si>
    <t>/home/kamil/dataset/custom/mural_king/images/scen_3</t>
  </si>
  <si>
    <t>custom_mural_king_scen_4</t>
  </si>
  <si>
    <t>IMG_8727.jpg
IMG_8729.jpg
IMG_8732.jpg
IMG_8734.jpg
IMG_8736.jpg
IMG_8738.jpg
IMG_8740.jpg
IMG_8742.jpg</t>
  </si>
  <si>
    <t>/home/kamil/dataset/custom/mural_king/images/scen_4</t>
  </si>
  <si>
    <t>eth3d_observatory_scen_1</t>
  </si>
  <si>
    <t>observatory</t>
  </si>
  <si>
    <t>DSC_1011.JPG</t>
  </si>
  <si>
    <t>/home/kamil/dataset/eth3d/observatory/images/scen_1</t>
  </si>
  <si>
    <t>eth3d_observatory_scen_2</t>
  </si>
  <si>
    <t>DSC_1009.JPG
DSC_1011.JPG</t>
  </si>
  <si>
    <t>/home/kamil/dataset/eth3d/observatory/images/scen_2</t>
  </si>
  <si>
    <t>eth3d_observatory_scen_3</t>
  </si>
  <si>
    <t>DSC_1007.JPG
DSC_1009.JPG
DSC_1011.JPG
DSC_1013.JPG</t>
  </si>
  <si>
    <t>/home/kamil/dataset/eth3d/observatory/images/scen_3</t>
  </si>
  <si>
    <t>eth3d_observatory_scen_4</t>
  </si>
  <si>
    <t>DSC_1007.JPG
DSC_1008.JPG
DSC_1009.JPG
DSC_1010.JPG
DSC_1011.JPG
DSC_1012.JPG
DSC_1013.JPG
DSC_1014.JPG</t>
  </si>
  <si>
    <t>/home/kamil/dataset/eth3d/observatory/images/scen_4</t>
  </si>
  <si>
    <t>custom_office_scen_1</t>
  </si>
  <si>
    <t>office</t>
  </si>
  <si>
    <t>IMG_9497.jpg</t>
  </si>
  <si>
    <t>/home/kamil/dataset/custom/office/images/scen_1</t>
  </si>
  <si>
    <t>custom_office_scen_2</t>
  </si>
  <si>
    <t>IMG_9497.jpg
IMG_9499.jpg</t>
  </si>
  <si>
    <t>/home/kamil/dataset/custom/office/images/scen_2</t>
  </si>
  <si>
    <t>custom_office_scen_3</t>
  </si>
  <si>
    <t>IMG_9493.jpg
IMG_9495.jpg
IMG_9497.jpg
IMG_9499.jpg</t>
  </si>
  <si>
    <t>/home/kamil/dataset/custom/office/images/scen_3</t>
  </si>
  <si>
    <t>custom_office_scen_4</t>
  </si>
  <si>
    <t>IMG_9492.jpg
IMG_9493.jpg
IMG_9494.jpg
IMG_9495.jpg
IMG_9496.jpg
IMG_9497.jpg
IMG_9498.jpg
IMG_9499.jpg</t>
  </si>
  <si>
    <t>/home/kamil/dataset/custom/office/images/scen_4</t>
  </si>
  <si>
    <t>eth3d_old_computer_scen_1</t>
  </si>
  <si>
    <t>old_computer</t>
  </si>
  <si>
    <t>DSC_1135.JPG</t>
  </si>
  <si>
    <t>/home/kamil/dataset/eth3d/old_computer/images/scen_1</t>
  </si>
  <si>
    <t>eth3d_old_computer_scen_2</t>
  </si>
  <si>
    <t>DSC_1135.JPG
DSC_1139.JPG</t>
  </si>
  <si>
    <t>/home/kamil/dataset/eth3d/old_computer/images/scen_2</t>
  </si>
  <si>
    <t>eth3d_old_computer_scen_3</t>
  </si>
  <si>
    <t>DSC_1133.JPG
DSC_1135.JPG
DSC_1137.JPG
DSC_1139.JPG</t>
  </si>
  <si>
    <t>/home/kamil/dataset/eth3d/old_computer/images/scen_3</t>
  </si>
  <si>
    <t>eth3d_old_computer_scen_4</t>
  </si>
  <si>
    <t>DSC_1133.JPG
DSC_1134.JPG
DSC_1135.JPG
DSC_1136.JPG
DSC_1137.JPG
DSC_1138.JPG
DSC_1139.JPG
DSC_1140.JPG</t>
  </si>
  <si>
    <t>/home/kamil/dataset/eth3d/old_computer/images/scen_4</t>
  </si>
  <si>
    <t>llff_orchids_scen_1</t>
  </si>
  <si>
    <t>orchids</t>
  </si>
  <si>
    <t>IMG_4467.JPG</t>
  </si>
  <si>
    <t>/home/kamil/dataset/nerf_llff_data/orchids/images/scen_1</t>
  </si>
  <si>
    <t>llff_orchids_scen_2</t>
  </si>
  <si>
    <t>IMG_4467.JPG
IMG_4488.JPG</t>
  </si>
  <si>
    <t>/home/kamil/dataset/nerf_llff_data/orchids/images/scen_2</t>
  </si>
  <si>
    <t>llff_orchids_scen_3</t>
  </si>
  <si>
    <t>IMG_4467.JPG
IMG_4481.JPG
IMG_4488.JPG
IMG_4491.JPG</t>
  </si>
  <si>
    <t>/home/kamil/dataset/nerf_llff_data/orchids/images/scen_3</t>
  </si>
  <si>
    <t>llff_orchids_scen_4</t>
  </si>
  <si>
    <t>IMG_4467.JPG
IMG_4470.JPG
IMG_4473.JPG
IMG_4477.JPG
IMG_4481.JPG
IMG_4485.JPG
IMG_4488.JPG
IMG_4491.JPG</t>
  </si>
  <si>
    <t>/home/kamil/dataset/nerf_llff_data/orchids/images/scen_4</t>
  </si>
  <si>
    <t>llff_room_scen_1</t>
  </si>
  <si>
    <t>room</t>
  </si>
  <si>
    <t>DJI_20200226_143914_572.JPG</t>
  </si>
  <si>
    <t>/home/kamil/dataset/nerf_llff_data/room/images/scen_1</t>
  </si>
  <si>
    <t>llff_room_scen_2</t>
  </si>
  <si>
    <t>DJI_20200226_143914_572.JPG
DJI_20200226_143948_113.JPG</t>
  </si>
  <si>
    <t>/home/kamil/dataset/nerf_llff_data/room/images/scen_2</t>
  </si>
  <si>
    <t>llff_room_scen_3</t>
  </si>
  <si>
    <t>DJI_20200226_143850_006.JPG
DJI_20200226_143906_682.JPG
DJI_20200226_143914_572.JPG
DJI_20200226_143948_113.JPG</t>
  </si>
  <si>
    <t>/home/kamil/dataset/nerf_llff_data/room/images/scen_3</t>
  </si>
  <si>
    <t>llff_room_scen_4</t>
  </si>
  <si>
    <t>DJI_20200226_143850_006.JPG
DJI_20200226_143858_657.JPG
DJI_20200226_143906_682.JPG
DJI_20200226_143914_572.JPG
DJI_20200226_143926_241.JPG
DJI_20200226_143935_646.JPG
DJI_20200226_143942_875.JPG
DJI_20200226_143948_113.JPG</t>
  </si>
  <si>
    <t>/home/kamil/dataset/nerf_llff_data/room/images/scen_4</t>
  </si>
  <si>
    <t>custom_room_1_scen_1</t>
  </si>
  <si>
    <t>room_1</t>
  </si>
  <si>
    <t>IMG_8945.jpg</t>
  </si>
  <si>
    <t>/home/kamil/dataset/custom/room_1/images/scen_1</t>
  </si>
  <si>
    <t>custom_room_1_scen_2</t>
  </si>
  <si>
    <t>IMG_8932.jpg
IMG_8945.jpg</t>
  </si>
  <si>
    <t>/home/kamil/dataset/custom/room_1/images/scen_2</t>
  </si>
  <si>
    <t>custom_room_1_scen_3</t>
  </si>
  <si>
    <t>IMG_8932.jpg
IMG_8936.jpg
IMG_8942.jpg
IMG_8945.jpg</t>
  </si>
  <si>
    <t>/home/kamil/dataset/custom/room_1/images/scen_3</t>
  </si>
  <si>
    <t>custom_room_1_scen_4</t>
  </si>
  <si>
    <t>IMG_8932.jpg
IMG_8934.jpg
IMG_8936.jpg
IMG_8937.jpg
IMG_8940.jpg
IMG_8942.jpg
IMG_8943.jpg
IMG_8945.jpg</t>
  </si>
  <si>
    <t>/home/kamil/dataset/custom/room_1/images/scen_4</t>
  </si>
  <si>
    <t>custom_room_2_scen_1</t>
  </si>
  <si>
    <t>room_2</t>
  </si>
  <si>
    <t>IMG_9090.jpg</t>
  </si>
  <si>
    <t>/home/kamil/dataset/custom/room_2/images/scen_1</t>
  </si>
  <si>
    <t>custom_room_2_scen_2</t>
  </si>
  <si>
    <t>IMG_9090.jpg
IMG_9102.jpg</t>
  </si>
  <si>
    <t>/home/kamil/dataset/custom/room_2/images/scen_2</t>
  </si>
  <si>
    <t>custom_room_2_scen_3</t>
  </si>
  <si>
    <t>IMG_9088.jpg
IMG_9090.jpg
IMG_9095.jpg
IMG_9102.jpg</t>
  </si>
  <si>
    <t>/home/kamil/dataset/custom/room_2/images/scen_3</t>
  </si>
  <si>
    <t>custom_room_2_scen_4</t>
  </si>
  <si>
    <t>IMG_9088.jpg
IMG_9090.jpg
IMG_9095.jpg
IMG_9097.jpg
IMG_9099.jpg
IMG_9100.jpg
IMG_9101.jpg
IMG_9102.jpg</t>
  </si>
  <si>
    <t>/home/kamil/dataset/custom/room_2/images/scen_4</t>
  </si>
  <si>
    <t>custom_room_3_scen_1</t>
  </si>
  <si>
    <t>room_3</t>
  </si>
  <si>
    <t>IMG_9115.jpg</t>
  </si>
  <si>
    <t>/home/kamil/dataset/custom/room_3/images/scen_1</t>
  </si>
  <si>
    <t>custom_room_3_scen_2</t>
  </si>
  <si>
    <t>IMG_9115.jpg
IMG_9117.jpg</t>
  </si>
  <si>
    <t>/home/kamil/dataset/custom/room_3/images/scen_2</t>
  </si>
  <si>
    <t>custom_room_3_scen_3</t>
  </si>
  <si>
    <t>IMG_9109.jpg
IMG_9115.jpg
IMG_9117.jpg
IMG_9120.jpg</t>
  </si>
  <si>
    <t>/home/kamil/dataset/custom/room_3/images/scen_3</t>
  </si>
  <si>
    <t>custom_room_3_scen_4</t>
  </si>
  <si>
    <t>IMG_9108.jpg
IMG_9109.jpg
IMG_9112.jpg
IMG_9113.jpg
IMG_9115.jpg
IMG_9117.jpg
IMG_9119.jpg
IMG_9120.jpg</t>
  </si>
  <si>
    <t>/home/kamil/dataset/custom/room_3/images/scen_4</t>
  </si>
  <si>
    <t>custom_room_4_scen_1</t>
  </si>
  <si>
    <t>room_4</t>
  </si>
  <si>
    <t>IMG_9148.jpg</t>
  </si>
  <si>
    <t>/home/kamil/dataset/custom/room_4/images/scen_1</t>
  </si>
  <si>
    <t>custom_room_4_scen_2</t>
  </si>
  <si>
    <t>IMG_9145.jpg
IMG_9148.jpg</t>
  </si>
  <si>
    <t>/home/kamil/dataset/custom/room_4/images/scen_2</t>
  </si>
  <si>
    <t>custom_room_4_scen_3</t>
  </si>
  <si>
    <t>IMG_9145.jpg
IMG_9146.jpg
IMG_9148.jpg
IMG_9150.jpg</t>
  </si>
  <si>
    <t>/home/kamil/dataset/custom/room_4/images/scen_3</t>
  </si>
  <si>
    <t>custom_room_4_scen_4</t>
  </si>
  <si>
    <t>IMG_9144.jpg
IMG_9145.jpg
IMG_9146.jpg
IMG_9147.jpg
IMG_9148.jpg
IMG_9149.jpg
IMG_9150.jpg
IMG_9151.jpg</t>
  </si>
  <si>
    <t>/home/kamil/dataset/custom/room_4/images/scen_4</t>
  </si>
  <si>
    <t>custom_room_5_scen_1</t>
  </si>
  <si>
    <t>room_5</t>
  </si>
  <si>
    <t>IMG_9152.jpg</t>
  </si>
  <si>
    <t>/home/kamil/dataset/custom/room_5/images/scen_1</t>
  </si>
  <si>
    <t>custom_room_5_scen_2</t>
  </si>
  <si>
    <t>IMG_9152.jpg
IMG_9158.jpg</t>
  </si>
  <si>
    <t>/home/kamil/dataset/custom/room_5/images/scen_2</t>
  </si>
  <si>
    <t>custom_room_5_scen_3</t>
  </si>
  <si>
    <t>IMG_9152.jpg
IMG_9154.jpg
IMG_9156.jpg
IMG_9158.jpg</t>
  </si>
  <si>
    <t>/home/kamil/dataset/custom/room_5/images/scen_3</t>
  </si>
  <si>
    <t>custom_room_5_scen_4</t>
  </si>
  <si>
    <t>IMG_9152.jpg
IMG_9153.jpg
IMG_9154.jpg
IMG_9155.jpg
IMG_9156.jpg
IMG_9157.jpg
IMG_9158.jpg
IMG_9159.jpg</t>
  </si>
  <si>
    <t>/home/kamil/dataset/custom/room_5/images/scen_4</t>
  </si>
  <si>
    <t>custom_spqr_scen_1</t>
  </si>
  <si>
    <t>spqr</t>
  </si>
  <si>
    <t>IMG_9004.jpg</t>
  </si>
  <si>
    <t>/home/kamil/dataset/custom/spqr/images/scen_1</t>
  </si>
  <si>
    <t>custom_spqr_scen_2</t>
  </si>
  <si>
    <t>IMG_8997.jpg
IMG_9004.jpg</t>
  </si>
  <si>
    <t>/home/kamil/dataset/custom/spqr/images/scen_2</t>
  </si>
  <si>
    <t>custom_spqr_scen_3</t>
  </si>
  <si>
    <t>IMG_8997.jpg
IMG_8999.jpg
IMG_9002.jpg
IMG_9004.jpg</t>
  </si>
  <si>
    <t>/home/kamil/dataset/custom/spqr/images/scen_3</t>
  </si>
  <si>
    <t>custom_spqr_scen_4</t>
  </si>
  <si>
    <t>IMG_8996.jpg
IMG_8997.jpg
IMG_8998.jpg
IMG_8999.jpg
IMG_9001.jpg
IMG_9002.jpg
IMG_9003.jpg
IMG_9004.jpg</t>
  </si>
  <si>
    <t>/home/kamil/dataset/custom/spqr/images/scen_4</t>
  </si>
  <si>
    <t>custom_statue_scen_1</t>
  </si>
  <si>
    <t>statue</t>
  </si>
  <si>
    <t>IMG_8719.jpg</t>
  </si>
  <si>
    <t>/home/kamil/dataset/custom/statue/images/scen_1</t>
  </si>
  <si>
    <t>eth3d_statue_scen_1</t>
  </si>
  <si>
    <t>DSC_0492.JPG</t>
  </si>
  <si>
    <t>/home/kamil/dataset/eth3d/statue/images/scen_1</t>
  </si>
  <si>
    <t>custom_statue_scen_2</t>
  </si>
  <si>
    <t>IMG_8703.jpg
IMG_8719.jpg</t>
  </si>
  <si>
    <t>/home/kamil/dataset/custom/statue/images/scen_2</t>
  </si>
  <si>
    <t>eth3d_statue_scen_2</t>
  </si>
  <si>
    <t>DSC_0492.JPG
DSC_0496.JPG</t>
  </si>
  <si>
    <t>/home/kamil/dataset/eth3d/statue/images/scen_2</t>
  </si>
  <si>
    <t>custom_statue_scen_3</t>
  </si>
  <si>
    <t>IMG_8703.jpg
IMG_8710.jpg
IMG_8713.jpg
IMG_8719.jpg</t>
  </si>
  <si>
    <t>/home/kamil/dataset/custom/statue/images/scen_3</t>
  </si>
  <si>
    <t>eth3d_statue_scen_3</t>
  </si>
  <si>
    <t>DSC_0490.JPG
DSC_0492.JPG
DSC_0496.JPG
DSC_0500.JPG</t>
  </si>
  <si>
    <t>/home/kamil/dataset/eth3d/statue/images/scen_3</t>
  </si>
  <si>
    <t>custom_statue_scen_4</t>
  </si>
  <si>
    <t>IMG_8701.jpg
IMG_8703.jpg
IMG_8710.jpg
IMG_8713.jpg
IMG_8715.jpg
IMG_8719.jpg
IMG_8722.jpg
IMG_8724.jpg</t>
  </si>
  <si>
    <t>/home/kamil/dataset/custom/statue/images/scen_4</t>
  </si>
  <si>
    <t>eth3d_statue_scen_4</t>
  </si>
  <si>
    <t>DSC_0490.JPG
DSC_0492.JPG
DSC_0493.JPG
DSC_0494.JPG
DSC_0496.JPG
DSC_0497.JPG
DSC_0498.JPG
DSC_0500.JPG</t>
  </si>
  <si>
    <t>/home/kamil/dataset/eth3d/statue/images/scen_4</t>
  </si>
  <si>
    <t>custom_synagogue_scen_1</t>
  </si>
  <si>
    <t>synagogue</t>
  </si>
  <si>
    <t>IMG_8769.jpg</t>
  </si>
  <si>
    <t>/home/kamil/dataset/custom/synagogue/images/scen_1</t>
  </si>
  <si>
    <t>custom_synagogue_scen_2</t>
  </si>
  <si>
    <t>IMG_8769.jpg
IMG_8785.jpg</t>
  </si>
  <si>
    <t>/home/kamil/dataset/custom/synagogue/images/scen_2</t>
  </si>
  <si>
    <t>custom_synagogue_scen_3</t>
  </si>
  <si>
    <t>IMG_8769.jpg
IMG_8775.jpg
IMG_8781.jpg
IMG_8787.jpg</t>
  </si>
  <si>
    <t>/home/kamil/dataset/custom/synagogue/images/scen_3</t>
  </si>
  <si>
    <t>custom_synagogue_scen_4</t>
  </si>
  <si>
    <t>IMG_8769.jpg
IMG_8772.jpg
IMG_8775.jpg
IMG_8778.jpg
IMG_8781.jpg
IMG_8784.jpg
IMG_8786.jpg
IMG_8787.jpg</t>
  </si>
  <si>
    <t>/home/kamil/dataset/custom/synagogue/images/scen_4</t>
  </si>
  <si>
    <t>custom_tennis_table_scen_1</t>
  </si>
  <si>
    <t>tennis_table</t>
  </si>
  <si>
    <t>IMG_8852.jpg</t>
  </si>
  <si>
    <t>/home/kamil/dataset/custom/tennis_table/images/scen_1</t>
  </si>
  <si>
    <t>custom_tennis_table_scen_2</t>
  </si>
  <si>
    <t>IMG_8852.jpg
IMG_8859.jpg</t>
  </si>
  <si>
    <t>/home/kamil/dataset/custom/tennis_table/images/scen_2</t>
  </si>
  <si>
    <t>custom_tennis_table_scen_3</t>
  </si>
  <si>
    <t>IMG_8847.jpg
IMG_8852.jpg
IMG_8859.jpg
IMG_8862.jpg</t>
  </si>
  <si>
    <t>/home/kamil/dataset/custom/tennis_table/images/scen_3</t>
  </si>
  <si>
    <t>custom_tennis_table_scen_4</t>
  </si>
  <si>
    <t>IMG_8842.jpg
IMG_8845.jpg
IMG_8847.jpg
IMG_8850.jpg
IMG_8852.jpg
IMG_8856.jpg
IMG_8859.jpg
IMG_8861.jpg</t>
  </si>
  <si>
    <t>/home/kamil/dataset/custom/tennis_table/images/scen_4</t>
  </si>
  <si>
    <t>eth3d_terrace_2_scen_1</t>
  </si>
  <si>
    <t>terrace_2</t>
  </si>
  <si>
    <t>DSC_1465.JPG</t>
  </si>
  <si>
    <t>/home/kamil/dataset/eth3d/terrace_2/images/scen_1</t>
  </si>
  <si>
    <t>eth3d_terrace_2_scen_2</t>
  </si>
  <si>
    <t>DSC_1461.JPG
DSC_1465.JPG</t>
  </si>
  <si>
    <t>/home/kamil/dataset/eth3d/terrace_2/images/scen_2</t>
  </si>
  <si>
    <t>eth3d_terrace_2_scen_3</t>
  </si>
  <si>
    <t>DSC_1460.JPG
DSC_1461.JPG
DSC_1465.JPG
DSC_1470.JPG</t>
  </si>
  <si>
    <t>/home/kamil/dataset/eth3d/terrace_2/images/scen_3</t>
  </si>
  <si>
    <t>eth3d_terrace_2_scen_4</t>
  </si>
  <si>
    <t>DSC_1460.JPG
DSC_1461.JPG
DSC_1462.JPG
DSC_1463.JPG
DSC_1465.JPG
DSC_1466.JPG
DSC_1470.JPG
DSC_1471.JPG</t>
  </si>
  <si>
    <t>/home/kamil/dataset/eth3d/terrace_2/images/scen_4</t>
  </si>
  <si>
    <t>llff_trex_scen_1</t>
  </si>
  <si>
    <t>trex</t>
  </si>
  <si>
    <t>DJI_20200223_163639_916.jpg</t>
  </si>
  <si>
    <t>/home/kamil/dataset/nerf_llff_data/trex/images/scen_1</t>
  </si>
  <si>
    <t>llff_trex_scen_2</t>
  </si>
  <si>
    <t>DJI_20200223_163548_810.jpg
DJI_20200223_163639_916.jpg</t>
  </si>
  <si>
    <t>/home/kamil/dataset/nerf_llff_data/trex/images/scen_2</t>
  </si>
  <si>
    <t>llff_trex_scen_3</t>
  </si>
  <si>
    <t>DJI_20200223_163548_810.jpg
DJI_20200223_163604_605.jpg
DJI_20200223_163639_916.jpg
DJI_20200223_163654_571.jpg</t>
  </si>
  <si>
    <t>/home/kamil/dataset/nerf_llff_data/trex/images/scen_3</t>
  </si>
  <si>
    <t>llff_trex_scen_4</t>
  </si>
  <si>
    <t>DJI_20200223_163548_810.jpg
DJI_20200223_163557_660.jpg
DJI_20200223_163604_605.jpg
DJI_20200223_163611_160.jpg
DJI_20200223_163620_700.jpg
DJI_20200223_163639_916.jpg
DJI_20200223_163646_755.jpg
DJI_20200223_163654_571.jpg</t>
  </si>
  <si>
    <t>/home/kamil/dataset/nerf_llff_data/trex/images/scen_4</t>
  </si>
  <si>
    <t>Skala punktowa 0–3</t>
  </si>
  <si>
    <t>Kryterium</t>
  </si>
  <si>
    <t>0 pkt</t>
  </si>
  <si>
    <t>1 pkt</t>
  </si>
  <si>
    <t>2 pkt</t>
  </si>
  <si>
    <t>3 pkt</t>
  </si>
  <si>
    <t>C – kompletność rekonstrukcji</t>
  </si>
  <si>
    <t>Brak użytecznej rekonstrukcji albo jedynie pojedyncze, niepowiązane fragmenty.</t>
  </si>
  <si>
    <t>Zrekonstruowano niewielką część sceny; duże braki względem obrazów wejściowych.</t>
  </si>
  <si>
    <t>Większość istotnych elementów jest obecna, ale występują zauważalne braki.</t>
  </si>
  <si>
    <t>Rekonstrukcja obejmuje praktycznie wszystkie istotne elementy widoczne na obrazach.</t>
  </si>
  <si>
    <t>G – spójność geometryczna</t>
  </si>
  <si>
    <t>Nie można zidentyfikować spójnej struktury przestrzennej sceny.</t>
  </si>
  <si>
    <t>Poważne deformacje, przesunięcia, rozwarstwienia lub błędne położenie elementów.</t>
  </si>
  <si>
    <t>Ogólna geometria jest poprawna, ale występują lokalne deformacje albo niespójności.</t>
  </si>
  <si>
    <t>Położenie elementów, proporcje i lokalna geometria są wizualnie spójne ze źródłami.</t>
  </si>
  <si>
    <t>A – artefakty i szum</t>
  </si>
  <si>
    <t>Artefakty dominują nad rekonstrukcją i uniemożliwiają jej interpretację.</t>
  </si>
  <si>
    <t>Liczne punkty odstające, duchy, rozwarstwienia, duplikaty lub inne poważne artefakty.</t>
  </si>
  <si>
    <t>Artefakty są widoczne, ale nie uniemożliwiają interpretacji sceny.</t>
  </si>
  <si>
    <t>Artefakty są nieliczne i mają marginalny wpływ na odbiór rekonstrukcji.</t>
  </si>
  <si>
    <t>Podstawowa struktura sceny jest nierozpoznawalna.</t>
  </si>
  <si>
    <t>Rozpoznawalne są jedynie główne bryły lub najbardziej ogólna struktura.</t>
  </si>
  <si>
    <t>Poprawnie odwzorowano główne elementy oraz część drobniejszych szczegółów.</t>
  </si>
  <si>
    <t>Dobrze zachowano zarówno główne struktury, jak i drobniejsze elementy sceny.</t>
  </si>
  <si>
    <t>Q = C + G + A + D, dlatego Q ∈ [0, 12].</t>
  </si>
  <si>
    <t>Automatyczne podsumowanie wyników</t>
  </si>
  <si>
    <t>Scenariusz</t>
  </si>
  <si>
    <t>Liczba przypadków</t>
  </si>
  <si>
    <t>Ocenione / kompletne</t>
  </si>
  <si>
    <t>Postęp</t>
  </si>
  <si>
    <t>Mediana Q</t>
  </si>
  <si>
    <t>Średnia Q</t>
  </si>
  <si>
    <t>Mediana C</t>
  </si>
  <si>
    <t>Średnia C</t>
  </si>
  <si>
    <t>Mediana G</t>
  </si>
  <si>
    <t>Średnia G</t>
  </si>
  <si>
    <t>Mediana A</t>
  </si>
  <si>
    <t>Średnia A</t>
  </si>
  <si>
    <t>Mediana D</t>
  </si>
  <si>
    <t>Średnia D</t>
  </si>
  <si>
    <t>Min Q</t>
  </si>
  <si>
    <t>Max Q</t>
  </si>
  <si>
    <t>Niepowodzenia (Q=0)</t>
  </si>
  <si>
    <t>Udział niepowodzeń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</si>
</sst>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sz val="11"/>
      <color rgb="FFFFFFFF"/>
      <name val="Calibri"/>
    </font>
    <font>
      <b/>
      <sz val="11"/>
      <color rgb="FF17365D"/>
      <name val="Calibri"/>
    </font>
    <font>
      <u/>
      <sz val="10"/>
      <color rgb="FF0563C1"/>
      <name val="Calibri"/>
    </font>
    <font>
      <sz val="10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 wrapText="1"/>
    </xf>
  </cellXfs>
  <cellStyles count="1">
    <cellStyle name="Normalny" xfId="0" builtinId="0"/>
  </cellStyles>
  <dxfs count="1">
    <dxf>
      <font>
        <color rgb="FF9C0006"/>
      </font>
      <fill>
        <patternFill patternType="solid">
          <fgColor rgb="FFFFC7CE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9"/>
  <sheetViews>
    <sheetView showGridLines="0" tabSelected="1" zoomScale="70" zoomScaleNormal="70" workbookViewId="0">
      <pane xSplit="7" ySplit="1" topLeftCell="H68" activePane="bottomRight" state="frozen"/>
      <selection pane="topRight"/>
      <selection pane="bottomLeft"/>
      <selection pane="bottomRight" activeCell="I75" sqref="I75"/>
    </sheetView>
  </sheetViews>
  <sheetFormatPr defaultRowHeight="15" x14ac:dyDescent="0.25"/>
  <cols>
    <col min="1" max="1" width="6" customWidth="1"/>
    <col min="2" max="2" width="32" customWidth="1"/>
    <col min="3" max="3" width="11" customWidth="1"/>
    <col min="4" max="4" width="23" customWidth="1"/>
    <col min="5" max="5" width="16" customWidth="1"/>
    <col min="6" max="6" width="20" customWidth="1"/>
    <col min="7" max="7" width="14" customWidth="1"/>
    <col min="8" max="8" width="50" customWidth="1"/>
    <col min="9" max="9" width="30" customWidth="1"/>
    <col min="10" max="10" width="28" customWidth="1"/>
    <col min="11" max="13" width="14" customWidth="1"/>
    <col min="14" max="14" width="18" customWidth="1"/>
    <col min="15" max="15" width="10" customWidth="1"/>
    <col min="16" max="16" width="48" customWidth="1"/>
    <col min="17" max="17" width="24" customWidth="1"/>
    <col min="18" max="18" width="42" hidden="1" customWidth="1"/>
  </cols>
  <sheetData>
    <row r="1" spans="1:18" ht="42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ht="33.950000000000003" customHeight="1" x14ac:dyDescent="0.25">
      <c r="A2" s="10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10">
        <v>1</v>
      </c>
      <c r="G2" s="2" t="s">
        <v>23</v>
      </c>
      <c r="H2" s="7" t="str">
        <f>HYPERLINK("vggt/outputs/eth3d_botanical_garden_1/reconstruction.glb","vggt/outputs/eth3d_botanical_garden_1/reconstruction.glb")</f>
        <v>vggt/outputs/eth3d_botanical_garden_1/reconstruction.glb</v>
      </c>
      <c r="I2" s="6" t="s">
        <v>24</v>
      </c>
      <c r="J2" s="3" t="s">
        <v>25</v>
      </c>
      <c r="K2" s="3">
        <v>1</v>
      </c>
      <c r="L2" s="3">
        <v>3</v>
      </c>
      <c r="M2" s="3">
        <v>2</v>
      </c>
      <c r="N2" s="3">
        <v>2</v>
      </c>
      <c r="O2" s="4">
        <f t="shared" ref="O2:O65" si="0">IF($J2="Niepowodzenie rekonstrukcji",0,IF(COUNT($K2:$N2)=4,SUM($K2:$N2),""))</f>
        <v>8</v>
      </c>
      <c r="P2" s="3"/>
      <c r="Q2" s="6" t="str">
        <f t="shared" ref="Q2:Q65" si="1">IF($J2="Niepowodzenie rekonstrukcji",IF(COUNTIF($K2:$N2,0)=4,"OK","Ustaw C, G, A, D = 0"),IF(COUNT($K2:$N2)=0,"Nieoceniony",IF(COUNT($K2:$N2)=4,"OK","Uzupełnij oceny")))</f>
        <v>OK</v>
      </c>
      <c r="R2" s="6" t="s">
        <v>26</v>
      </c>
    </row>
    <row r="3" spans="1:18" ht="33.950000000000003" customHeight="1" x14ac:dyDescent="0.25">
      <c r="A3" s="10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10">
        <v>1</v>
      </c>
      <c r="G3" s="2" t="s">
        <v>27</v>
      </c>
      <c r="H3" s="7" t="str">
        <f>HYPERLINK("mapany/outputs/eth3d_botanical_garden_1/reconstruction.glb","mapany/outputs/eth3d_botanical_garden_1/reconstruction.glb")</f>
        <v>mapany/outputs/eth3d_botanical_garden_1/reconstruction.glb</v>
      </c>
      <c r="I3" s="6" t="s">
        <v>24</v>
      </c>
      <c r="J3" s="3" t="s">
        <v>25</v>
      </c>
      <c r="K3" s="3">
        <v>2</v>
      </c>
      <c r="L3" s="3">
        <v>2</v>
      </c>
      <c r="M3" s="3">
        <v>1</v>
      </c>
      <c r="N3" s="3">
        <v>3</v>
      </c>
      <c r="O3" s="4">
        <f t="shared" si="0"/>
        <v>8</v>
      </c>
      <c r="P3" s="3"/>
      <c r="Q3" s="6" t="str">
        <f t="shared" si="1"/>
        <v>OK</v>
      </c>
      <c r="R3" s="6" t="s">
        <v>26</v>
      </c>
    </row>
    <row r="4" spans="1:18" ht="33.950000000000003" customHeight="1" x14ac:dyDescent="0.25">
      <c r="A4" s="10">
        <v>3</v>
      </c>
      <c r="B4" s="2" t="s">
        <v>28</v>
      </c>
      <c r="C4" s="2" t="s">
        <v>20</v>
      </c>
      <c r="D4" s="2" t="s">
        <v>21</v>
      </c>
      <c r="E4" s="2" t="s">
        <v>22</v>
      </c>
      <c r="F4" s="10">
        <v>2</v>
      </c>
      <c r="G4" s="2" t="s">
        <v>23</v>
      </c>
      <c r="H4" s="7" t="str">
        <f>HYPERLINK("vggt/outputs/eth3d_botanical_garden_2/reconstruction.glb","vggt/outputs/eth3d_botanical_garden_2/reconstruction.glb")</f>
        <v>vggt/outputs/eth3d_botanical_garden_2/reconstruction.glb</v>
      </c>
      <c r="I4" s="6" t="s">
        <v>29</v>
      </c>
      <c r="J4" s="3" t="s">
        <v>25</v>
      </c>
      <c r="K4" s="3">
        <v>2</v>
      </c>
      <c r="L4" s="3">
        <v>2</v>
      </c>
      <c r="M4" s="3">
        <v>2</v>
      </c>
      <c r="N4" s="3">
        <v>1</v>
      </c>
      <c r="O4" s="4">
        <f t="shared" si="0"/>
        <v>7</v>
      </c>
      <c r="P4" s="3"/>
      <c r="Q4" s="6" t="str">
        <f t="shared" si="1"/>
        <v>OK</v>
      </c>
      <c r="R4" s="6" t="s">
        <v>30</v>
      </c>
    </row>
    <row r="5" spans="1:18" ht="33.950000000000003" customHeight="1" x14ac:dyDescent="0.25">
      <c r="A5" s="10">
        <v>4</v>
      </c>
      <c r="B5" s="2" t="s">
        <v>28</v>
      </c>
      <c r="C5" s="2" t="s">
        <v>20</v>
      </c>
      <c r="D5" s="2" t="s">
        <v>21</v>
      </c>
      <c r="E5" s="2" t="s">
        <v>22</v>
      </c>
      <c r="F5" s="10">
        <v>2</v>
      </c>
      <c r="G5" s="2" t="s">
        <v>31</v>
      </c>
      <c r="H5" s="7" t="str">
        <f>HYPERLINK("mast3r/outputs/eth3d_botanical_garden_2/reconstruction.glb","mast3r/outputs/eth3d_botanical_garden_2/reconstruction.glb")</f>
        <v>mast3r/outputs/eth3d_botanical_garden_2/reconstruction.glb</v>
      </c>
      <c r="I5" s="6" t="s">
        <v>29</v>
      </c>
      <c r="J5" s="3" t="s">
        <v>25</v>
      </c>
      <c r="K5" s="3">
        <v>1</v>
      </c>
      <c r="L5" s="3">
        <v>2</v>
      </c>
      <c r="M5" s="3">
        <v>2</v>
      </c>
      <c r="N5" s="3">
        <v>1</v>
      </c>
      <c r="O5" s="4">
        <f t="shared" si="0"/>
        <v>6</v>
      </c>
      <c r="P5" s="3"/>
      <c r="Q5" s="6" t="str">
        <f t="shared" si="1"/>
        <v>OK</v>
      </c>
      <c r="R5" s="6" t="s">
        <v>30</v>
      </c>
    </row>
    <row r="6" spans="1:18" ht="33.950000000000003" customHeight="1" x14ac:dyDescent="0.25">
      <c r="A6" s="10">
        <v>5</v>
      </c>
      <c r="B6" s="2" t="s">
        <v>28</v>
      </c>
      <c r="C6" s="2" t="s">
        <v>20</v>
      </c>
      <c r="D6" s="2" t="s">
        <v>21</v>
      </c>
      <c r="E6" s="2" t="s">
        <v>22</v>
      </c>
      <c r="F6" s="10">
        <v>2</v>
      </c>
      <c r="G6" s="2" t="s">
        <v>27</v>
      </c>
      <c r="H6" s="7" t="str">
        <f>HYPERLINK("mapany/outputs/eth3d_botanical_garden_2/reconstruction.glb","mapany/outputs/eth3d_botanical_garden_2/reconstruction.glb")</f>
        <v>mapany/outputs/eth3d_botanical_garden_2/reconstruction.glb</v>
      </c>
      <c r="I6" s="6" t="s">
        <v>29</v>
      </c>
      <c r="J6" s="3" t="s">
        <v>25</v>
      </c>
      <c r="K6" s="3">
        <v>3</v>
      </c>
      <c r="L6" s="3">
        <v>1</v>
      </c>
      <c r="M6" s="3">
        <v>1</v>
      </c>
      <c r="N6" s="3">
        <v>2</v>
      </c>
      <c r="O6" s="4">
        <f t="shared" si="0"/>
        <v>7</v>
      </c>
      <c r="P6" s="3"/>
      <c r="Q6" s="6" t="str">
        <f t="shared" si="1"/>
        <v>OK</v>
      </c>
      <c r="R6" s="6" t="s">
        <v>30</v>
      </c>
    </row>
    <row r="7" spans="1:18" ht="33.950000000000003" customHeight="1" x14ac:dyDescent="0.25">
      <c r="A7" s="10">
        <v>6</v>
      </c>
      <c r="B7" s="2" t="s">
        <v>32</v>
      </c>
      <c r="C7" s="2" t="s">
        <v>20</v>
      </c>
      <c r="D7" s="2" t="s">
        <v>21</v>
      </c>
      <c r="E7" s="2" t="s">
        <v>22</v>
      </c>
      <c r="F7" s="10">
        <v>4</v>
      </c>
      <c r="G7" s="2" t="s">
        <v>23</v>
      </c>
      <c r="H7" s="7" t="str">
        <f>HYPERLINK("vggt/outputs/eth3d_botanical_garden_3/reconstruction.glb","vggt/outputs/eth3d_botanical_garden_3/reconstruction.glb")</f>
        <v>vggt/outputs/eth3d_botanical_garden_3/reconstruction.glb</v>
      </c>
      <c r="I7" s="6" t="s">
        <v>33</v>
      </c>
      <c r="J7" s="3" t="s">
        <v>25</v>
      </c>
      <c r="K7" s="3">
        <v>1</v>
      </c>
      <c r="L7" s="3">
        <v>2</v>
      </c>
      <c r="M7" s="3">
        <v>2</v>
      </c>
      <c r="N7" s="3">
        <v>1</v>
      </c>
      <c r="O7" s="4">
        <f t="shared" si="0"/>
        <v>6</v>
      </c>
      <c r="P7" s="3"/>
      <c r="Q7" s="6" t="str">
        <f t="shared" si="1"/>
        <v>OK</v>
      </c>
      <c r="R7" s="6" t="s">
        <v>34</v>
      </c>
    </row>
    <row r="8" spans="1:18" ht="33.950000000000003" customHeight="1" x14ac:dyDescent="0.25">
      <c r="A8" s="10">
        <v>7</v>
      </c>
      <c r="B8" s="2" t="s">
        <v>32</v>
      </c>
      <c r="C8" s="2" t="s">
        <v>20</v>
      </c>
      <c r="D8" s="2" t="s">
        <v>21</v>
      </c>
      <c r="E8" s="2" t="s">
        <v>22</v>
      </c>
      <c r="F8" s="10">
        <v>4</v>
      </c>
      <c r="G8" s="2" t="s">
        <v>31</v>
      </c>
      <c r="H8" s="7" t="str">
        <f>HYPERLINK("mast3r/outputs/eth3d_botanical_garden_3/reconstruction.glb","mast3r/outputs/eth3d_botanical_garden_3/reconstruction.glb")</f>
        <v>mast3r/outputs/eth3d_botanical_garden_3/reconstruction.glb</v>
      </c>
      <c r="I8" s="6" t="s">
        <v>33</v>
      </c>
      <c r="J8" s="3" t="s">
        <v>25</v>
      </c>
      <c r="K8" s="3">
        <v>2</v>
      </c>
      <c r="L8" s="3">
        <v>2</v>
      </c>
      <c r="M8" s="3">
        <v>2</v>
      </c>
      <c r="N8" s="3">
        <v>1</v>
      </c>
      <c r="O8" s="4">
        <f t="shared" si="0"/>
        <v>7</v>
      </c>
      <c r="P8" s="3"/>
      <c r="Q8" s="6" t="str">
        <f t="shared" si="1"/>
        <v>OK</v>
      </c>
      <c r="R8" s="6" t="s">
        <v>34</v>
      </c>
    </row>
    <row r="9" spans="1:18" ht="33.950000000000003" customHeight="1" x14ac:dyDescent="0.25">
      <c r="A9" s="10">
        <v>8</v>
      </c>
      <c r="B9" s="2" t="s">
        <v>32</v>
      </c>
      <c r="C9" s="2" t="s">
        <v>20</v>
      </c>
      <c r="D9" s="2" t="s">
        <v>21</v>
      </c>
      <c r="E9" s="2" t="s">
        <v>22</v>
      </c>
      <c r="F9" s="10">
        <v>4</v>
      </c>
      <c r="G9" s="2" t="s">
        <v>27</v>
      </c>
      <c r="H9" s="7" t="str">
        <f>HYPERLINK("mapany/outputs/eth3d_botanical_garden_3/reconstruction.glb","mapany/outputs/eth3d_botanical_garden_3/reconstruction.glb")</f>
        <v>mapany/outputs/eth3d_botanical_garden_3/reconstruction.glb</v>
      </c>
      <c r="I9" s="6" t="s">
        <v>33</v>
      </c>
      <c r="J9" s="3" t="s">
        <v>25</v>
      </c>
      <c r="K9" s="3">
        <v>3</v>
      </c>
      <c r="L9" s="3">
        <v>1</v>
      </c>
      <c r="M9" s="3">
        <v>1</v>
      </c>
      <c r="N9" s="3">
        <v>2</v>
      </c>
      <c r="O9" s="4">
        <f t="shared" si="0"/>
        <v>7</v>
      </c>
      <c r="P9" s="3"/>
      <c r="Q9" s="6" t="str">
        <f t="shared" si="1"/>
        <v>OK</v>
      </c>
      <c r="R9" s="6" t="s">
        <v>34</v>
      </c>
    </row>
    <row r="10" spans="1:18" ht="33.950000000000003" customHeight="1" x14ac:dyDescent="0.25">
      <c r="A10" s="10">
        <v>9</v>
      </c>
      <c r="B10" s="2" t="s">
        <v>35</v>
      </c>
      <c r="C10" s="2" t="s">
        <v>20</v>
      </c>
      <c r="D10" s="2" t="s">
        <v>21</v>
      </c>
      <c r="E10" s="2" t="s">
        <v>22</v>
      </c>
      <c r="F10" s="10">
        <v>8</v>
      </c>
      <c r="G10" s="2" t="s">
        <v>23</v>
      </c>
      <c r="H10" s="7" t="str">
        <f>HYPERLINK("vggt/outputs/eth3d_botanical_garden_4/reconstruction.glb","vggt/outputs/eth3d_botanical_garden_4/reconstruction.glb")</f>
        <v>vggt/outputs/eth3d_botanical_garden_4/reconstruction.glb</v>
      </c>
      <c r="I10" s="6" t="s">
        <v>36</v>
      </c>
      <c r="J10" s="3" t="s">
        <v>25</v>
      </c>
      <c r="K10" s="3">
        <v>1</v>
      </c>
      <c r="L10" s="3">
        <v>2</v>
      </c>
      <c r="M10" s="3">
        <v>2</v>
      </c>
      <c r="N10" s="3">
        <v>2</v>
      </c>
      <c r="O10" s="4">
        <f t="shared" si="0"/>
        <v>7</v>
      </c>
      <c r="P10" s="3"/>
      <c r="Q10" s="6" t="str">
        <f t="shared" si="1"/>
        <v>OK</v>
      </c>
      <c r="R10" s="6" t="s">
        <v>37</v>
      </c>
    </row>
    <row r="11" spans="1:18" ht="33.950000000000003" customHeight="1" x14ac:dyDescent="0.25">
      <c r="A11" s="10">
        <v>10</v>
      </c>
      <c r="B11" s="2" t="s">
        <v>35</v>
      </c>
      <c r="C11" s="2" t="s">
        <v>20</v>
      </c>
      <c r="D11" s="2" t="s">
        <v>21</v>
      </c>
      <c r="E11" s="2" t="s">
        <v>22</v>
      </c>
      <c r="F11" s="10">
        <v>8</v>
      </c>
      <c r="G11" s="2" t="s">
        <v>31</v>
      </c>
      <c r="H11" s="7" t="str">
        <f>HYPERLINK("mast3r/outputs/eth3d_botanical_garden_4/reconstruction.glb","mast3r/outputs/eth3d_botanical_garden_4/reconstruction.glb")</f>
        <v>mast3r/outputs/eth3d_botanical_garden_4/reconstruction.glb</v>
      </c>
      <c r="I11" s="6" t="s">
        <v>36</v>
      </c>
      <c r="J11" s="3" t="s">
        <v>25</v>
      </c>
      <c r="K11" s="3">
        <v>0</v>
      </c>
      <c r="L11" s="3">
        <v>0</v>
      </c>
      <c r="M11" s="3">
        <v>0</v>
      </c>
      <c r="N11" s="3">
        <v>1</v>
      </c>
      <c r="O11" s="4">
        <f t="shared" si="0"/>
        <v>1</v>
      </c>
      <c r="P11" s="3"/>
      <c r="Q11" s="6" t="str">
        <f t="shared" si="1"/>
        <v>OK</v>
      </c>
      <c r="R11" s="6" t="s">
        <v>37</v>
      </c>
    </row>
    <row r="12" spans="1:18" ht="33.950000000000003" customHeight="1" x14ac:dyDescent="0.25">
      <c r="A12" s="10">
        <v>11</v>
      </c>
      <c r="B12" s="2" t="s">
        <v>35</v>
      </c>
      <c r="C12" s="2" t="s">
        <v>20</v>
      </c>
      <c r="D12" s="2" t="s">
        <v>21</v>
      </c>
      <c r="E12" s="2" t="s">
        <v>22</v>
      </c>
      <c r="F12" s="10">
        <v>8</v>
      </c>
      <c r="G12" s="2" t="s">
        <v>27</v>
      </c>
      <c r="H12" s="7" t="str">
        <f>HYPERLINK("mapany/outputs/eth3d_botanical_garden_4/reconstruction.glb","mapany/outputs/eth3d_botanical_garden_4/reconstruction.glb")</f>
        <v>mapany/outputs/eth3d_botanical_garden_4/reconstruction.glb</v>
      </c>
      <c r="I12" s="6" t="s">
        <v>36</v>
      </c>
      <c r="J12" s="3" t="s">
        <v>25</v>
      </c>
      <c r="K12" s="3">
        <v>2</v>
      </c>
      <c r="L12" s="3">
        <v>1</v>
      </c>
      <c r="M12" s="3">
        <v>1</v>
      </c>
      <c r="N12" s="3">
        <v>2</v>
      </c>
      <c r="O12" s="4">
        <f t="shared" si="0"/>
        <v>6</v>
      </c>
      <c r="P12" s="3"/>
      <c r="Q12" s="6" t="str">
        <f t="shared" si="1"/>
        <v>OK</v>
      </c>
      <c r="R12" s="6" t="s">
        <v>37</v>
      </c>
    </row>
    <row r="13" spans="1:18" ht="33.950000000000003" customHeight="1" x14ac:dyDescent="0.25">
      <c r="A13" s="10">
        <v>12</v>
      </c>
      <c r="B13" s="2" t="s">
        <v>38</v>
      </c>
      <c r="C13" s="2" t="s">
        <v>20</v>
      </c>
      <c r="D13" s="2" t="s">
        <v>39</v>
      </c>
      <c r="E13" s="2" t="s">
        <v>40</v>
      </c>
      <c r="F13" s="10">
        <v>1</v>
      </c>
      <c r="G13" s="2" t="s">
        <v>23</v>
      </c>
      <c r="H13" s="7" t="str">
        <f>HYPERLINK("vggt/outputs/eth3d_boulders_scen_1/reconstruction.glb","vggt/outputs/eth3d_boulders_scen_1/reconstruction.glb")</f>
        <v>vggt/outputs/eth3d_boulders_scen_1/reconstruction.glb</v>
      </c>
      <c r="I13" s="6" t="s">
        <v>41</v>
      </c>
      <c r="J13" s="3" t="s">
        <v>25</v>
      </c>
      <c r="K13" s="3">
        <v>3</v>
      </c>
      <c r="L13" s="3">
        <v>1</v>
      </c>
      <c r="M13" s="3">
        <v>1</v>
      </c>
      <c r="N13" s="3">
        <v>2</v>
      </c>
      <c r="O13" s="4">
        <f t="shared" si="0"/>
        <v>7</v>
      </c>
      <c r="P13" s="3"/>
      <c r="Q13" s="6" t="str">
        <f t="shared" si="1"/>
        <v>OK</v>
      </c>
      <c r="R13" s="6" t="s">
        <v>42</v>
      </c>
    </row>
    <row r="14" spans="1:18" ht="33.950000000000003" customHeight="1" x14ac:dyDescent="0.25">
      <c r="A14" s="10">
        <v>13</v>
      </c>
      <c r="B14" s="2" t="s">
        <v>38</v>
      </c>
      <c r="C14" s="2" t="s">
        <v>20</v>
      </c>
      <c r="D14" s="2" t="s">
        <v>39</v>
      </c>
      <c r="E14" s="2" t="s">
        <v>40</v>
      </c>
      <c r="F14" s="10">
        <v>1</v>
      </c>
      <c r="G14" s="2" t="s">
        <v>27</v>
      </c>
      <c r="H14" s="7" t="str">
        <f>HYPERLINK("mapany/outputs/eth3d_boulders_scen_1/reconstruction.glb","mapany/outputs/eth3d_boulders_scen_1/reconstruction.glb")</f>
        <v>mapany/outputs/eth3d_boulders_scen_1/reconstruction.glb</v>
      </c>
      <c r="I14" s="6" t="s">
        <v>41</v>
      </c>
      <c r="J14" s="3" t="s">
        <v>25</v>
      </c>
      <c r="K14" s="3">
        <v>2</v>
      </c>
      <c r="L14" s="3">
        <v>1</v>
      </c>
      <c r="M14" s="3">
        <v>1</v>
      </c>
      <c r="N14" s="3">
        <v>1</v>
      </c>
      <c r="O14" s="4">
        <f t="shared" si="0"/>
        <v>5</v>
      </c>
      <c r="P14" s="3"/>
      <c r="Q14" s="6" t="str">
        <f t="shared" si="1"/>
        <v>OK</v>
      </c>
      <c r="R14" s="6" t="s">
        <v>42</v>
      </c>
    </row>
    <row r="15" spans="1:18" ht="33.950000000000003" customHeight="1" x14ac:dyDescent="0.25">
      <c r="A15" s="10">
        <v>14</v>
      </c>
      <c r="B15" s="2" t="s">
        <v>43</v>
      </c>
      <c r="C15" s="2" t="s">
        <v>20</v>
      </c>
      <c r="D15" s="2" t="s">
        <v>39</v>
      </c>
      <c r="E15" s="2" t="s">
        <v>40</v>
      </c>
      <c r="F15" s="10">
        <v>2</v>
      </c>
      <c r="G15" s="2" t="s">
        <v>23</v>
      </c>
      <c r="H15" s="7" t="str">
        <f>HYPERLINK("vggt/outputs/eth3d_boulders_scen_2/reconstruction.glb","vggt/outputs/eth3d_boulders_scen_2/reconstruction.glb")</f>
        <v>vggt/outputs/eth3d_boulders_scen_2/reconstruction.glb</v>
      </c>
      <c r="I15" s="6" t="s">
        <v>44</v>
      </c>
      <c r="J15" s="3" t="s">
        <v>25</v>
      </c>
      <c r="K15" s="3">
        <v>3</v>
      </c>
      <c r="L15" s="3">
        <v>1</v>
      </c>
      <c r="M15" s="3">
        <v>1</v>
      </c>
      <c r="N15" s="3">
        <v>2</v>
      </c>
      <c r="O15" s="4">
        <f t="shared" si="0"/>
        <v>7</v>
      </c>
      <c r="P15" s="3"/>
      <c r="Q15" s="6" t="str">
        <f t="shared" si="1"/>
        <v>OK</v>
      </c>
      <c r="R15" s="6" t="s">
        <v>45</v>
      </c>
    </row>
    <row r="16" spans="1:18" ht="33.950000000000003" customHeight="1" x14ac:dyDescent="0.25">
      <c r="A16" s="10">
        <v>15</v>
      </c>
      <c r="B16" s="2" t="s">
        <v>43</v>
      </c>
      <c r="C16" s="2" t="s">
        <v>20</v>
      </c>
      <c r="D16" s="2" t="s">
        <v>39</v>
      </c>
      <c r="E16" s="2" t="s">
        <v>40</v>
      </c>
      <c r="F16" s="10">
        <v>2</v>
      </c>
      <c r="G16" s="2" t="s">
        <v>31</v>
      </c>
      <c r="H16" s="7" t="str">
        <f>HYPERLINK("mast3r/outputs/eth3d_boulders_scen_2/reconstruction.glb","mast3r/outputs/eth3d_boulders_scen_2/reconstruction.glb")</f>
        <v>mast3r/outputs/eth3d_boulders_scen_2/reconstruction.glb</v>
      </c>
      <c r="I16" s="6" t="s">
        <v>44</v>
      </c>
      <c r="J16" s="3" t="s">
        <v>25</v>
      </c>
      <c r="K16" s="3">
        <v>1</v>
      </c>
      <c r="L16" s="3">
        <v>3</v>
      </c>
      <c r="M16" s="3">
        <v>2</v>
      </c>
      <c r="N16" s="3">
        <v>1</v>
      </c>
      <c r="O16" s="4">
        <f t="shared" si="0"/>
        <v>7</v>
      </c>
      <c r="P16" s="3"/>
      <c r="Q16" s="6" t="str">
        <f t="shared" si="1"/>
        <v>OK</v>
      </c>
      <c r="R16" s="6" t="s">
        <v>45</v>
      </c>
    </row>
    <row r="17" spans="1:18" ht="33.950000000000003" customHeight="1" x14ac:dyDescent="0.25">
      <c r="A17" s="10">
        <v>16</v>
      </c>
      <c r="B17" s="2" t="s">
        <v>43</v>
      </c>
      <c r="C17" s="2" t="s">
        <v>20</v>
      </c>
      <c r="D17" s="2" t="s">
        <v>39</v>
      </c>
      <c r="E17" s="2" t="s">
        <v>40</v>
      </c>
      <c r="F17" s="10">
        <v>2</v>
      </c>
      <c r="G17" s="2" t="s">
        <v>27</v>
      </c>
      <c r="H17" s="7" t="str">
        <f>HYPERLINK("mapany/outputs/eth3d_boulders_scen_2/reconstruction.glb","mapany/outputs/eth3d_boulders_scen_2/reconstruction.glb")</f>
        <v>mapany/outputs/eth3d_boulders_scen_2/reconstruction.glb</v>
      </c>
      <c r="I17" s="6" t="s">
        <v>44</v>
      </c>
      <c r="J17" s="3" t="s">
        <v>25</v>
      </c>
      <c r="K17" s="3">
        <v>2</v>
      </c>
      <c r="L17" s="3">
        <v>2</v>
      </c>
      <c r="M17" s="3">
        <v>2</v>
      </c>
      <c r="N17" s="3">
        <v>2</v>
      </c>
      <c r="O17" s="4">
        <f t="shared" si="0"/>
        <v>8</v>
      </c>
      <c r="P17" s="3"/>
      <c r="Q17" s="6" t="str">
        <f t="shared" si="1"/>
        <v>OK</v>
      </c>
      <c r="R17" s="6" t="s">
        <v>45</v>
      </c>
    </row>
    <row r="18" spans="1:18" ht="33.950000000000003" customHeight="1" x14ac:dyDescent="0.25">
      <c r="A18" s="10">
        <v>17</v>
      </c>
      <c r="B18" s="2" t="s">
        <v>46</v>
      </c>
      <c r="C18" s="2" t="s">
        <v>20</v>
      </c>
      <c r="D18" s="2" t="s">
        <v>39</v>
      </c>
      <c r="E18" s="2" t="s">
        <v>40</v>
      </c>
      <c r="F18" s="10">
        <v>4</v>
      </c>
      <c r="G18" s="2" t="s">
        <v>23</v>
      </c>
      <c r="H18" s="7" t="str">
        <f>HYPERLINK("vggt/outputs/eth3d_boulders_scen_3/reconstruction.glb","vggt/outputs/eth3d_boulders_scen_3/reconstruction.glb")</f>
        <v>vggt/outputs/eth3d_boulders_scen_3/reconstruction.glb</v>
      </c>
      <c r="I18" s="6" t="s">
        <v>47</v>
      </c>
      <c r="J18" s="3" t="s">
        <v>25</v>
      </c>
      <c r="K18" s="3">
        <v>2</v>
      </c>
      <c r="L18" s="3">
        <v>2</v>
      </c>
      <c r="M18" s="3">
        <v>2</v>
      </c>
      <c r="N18" s="3">
        <v>2</v>
      </c>
      <c r="O18" s="4">
        <f t="shared" si="0"/>
        <v>8</v>
      </c>
      <c r="P18" s="3"/>
      <c r="Q18" s="6" t="str">
        <f t="shared" si="1"/>
        <v>OK</v>
      </c>
      <c r="R18" s="6" t="s">
        <v>48</v>
      </c>
    </row>
    <row r="19" spans="1:18" ht="33.950000000000003" customHeight="1" x14ac:dyDescent="0.25">
      <c r="A19" s="10">
        <v>18</v>
      </c>
      <c r="B19" s="2" t="s">
        <v>46</v>
      </c>
      <c r="C19" s="2" t="s">
        <v>20</v>
      </c>
      <c r="D19" s="2" t="s">
        <v>39</v>
      </c>
      <c r="E19" s="2" t="s">
        <v>40</v>
      </c>
      <c r="F19" s="10">
        <v>4</v>
      </c>
      <c r="G19" s="2" t="s">
        <v>31</v>
      </c>
      <c r="H19" s="7" t="str">
        <f>HYPERLINK("mast3r/outputs/eth3d_boulders_scen_3/reconstruction.glb","mast3r/outputs/eth3d_boulders_scen_3/reconstruction.glb")</f>
        <v>mast3r/outputs/eth3d_boulders_scen_3/reconstruction.glb</v>
      </c>
      <c r="I19" s="6" t="s">
        <v>47</v>
      </c>
      <c r="J19" s="3" t="s">
        <v>25</v>
      </c>
      <c r="K19" s="3">
        <v>1</v>
      </c>
      <c r="L19" s="3">
        <v>2</v>
      </c>
      <c r="M19" s="3">
        <v>2</v>
      </c>
      <c r="N19" s="3">
        <v>1</v>
      </c>
      <c r="O19" s="4">
        <f t="shared" si="0"/>
        <v>6</v>
      </c>
      <c r="P19" s="3"/>
      <c r="Q19" s="6" t="str">
        <f t="shared" si="1"/>
        <v>OK</v>
      </c>
      <c r="R19" s="6" t="s">
        <v>48</v>
      </c>
    </row>
    <row r="20" spans="1:18" ht="33.950000000000003" customHeight="1" x14ac:dyDescent="0.25">
      <c r="A20" s="10">
        <v>19</v>
      </c>
      <c r="B20" s="2" t="s">
        <v>46</v>
      </c>
      <c r="C20" s="2" t="s">
        <v>20</v>
      </c>
      <c r="D20" s="2" t="s">
        <v>39</v>
      </c>
      <c r="E20" s="2" t="s">
        <v>40</v>
      </c>
      <c r="F20" s="10">
        <v>4</v>
      </c>
      <c r="G20" s="2" t="s">
        <v>27</v>
      </c>
      <c r="H20" s="7" t="str">
        <f>HYPERLINK("mapany/outputs/eth3d_boulders_scen_3/reconstruction.glb","mapany/outputs/eth3d_boulders_scen_3/reconstruction.glb")</f>
        <v>mapany/outputs/eth3d_boulders_scen_3/reconstruction.glb</v>
      </c>
      <c r="I20" s="6" t="s">
        <v>47</v>
      </c>
      <c r="J20" s="3" t="s">
        <v>25</v>
      </c>
      <c r="K20" s="3">
        <v>3</v>
      </c>
      <c r="L20" s="3">
        <v>2</v>
      </c>
      <c r="M20" s="3">
        <v>2</v>
      </c>
      <c r="N20" s="3">
        <v>2</v>
      </c>
      <c r="O20" s="4">
        <f t="shared" si="0"/>
        <v>9</v>
      </c>
      <c r="P20" s="3"/>
      <c r="Q20" s="6" t="str">
        <f t="shared" si="1"/>
        <v>OK</v>
      </c>
      <c r="R20" s="6" t="s">
        <v>48</v>
      </c>
    </row>
    <row r="21" spans="1:18" ht="33.950000000000003" customHeight="1" x14ac:dyDescent="0.25">
      <c r="A21" s="10">
        <v>20</v>
      </c>
      <c r="B21" s="2" t="s">
        <v>49</v>
      </c>
      <c r="C21" s="2" t="s">
        <v>20</v>
      </c>
      <c r="D21" s="2" t="s">
        <v>39</v>
      </c>
      <c r="E21" s="2" t="s">
        <v>40</v>
      </c>
      <c r="F21" s="10">
        <v>8</v>
      </c>
      <c r="G21" s="2" t="s">
        <v>23</v>
      </c>
      <c r="H21" s="7" t="str">
        <f>HYPERLINK("vggt/outputs/eth3d_boulders_scen_4/reconstruction.glb","vggt/outputs/eth3d_boulders_scen_4/reconstruction.glb")</f>
        <v>vggt/outputs/eth3d_boulders_scen_4/reconstruction.glb</v>
      </c>
      <c r="I21" s="6" t="s">
        <v>50</v>
      </c>
      <c r="J21" s="3" t="s">
        <v>25</v>
      </c>
      <c r="K21" s="3">
        <v>2</v>
      </c>
      <c r="L21" s="3">
        <v>2</v>
      </c>
      <c r="M21" s="3">
        <v>2</v>
      </c>
      <c r="N21" s="3">
        <v>2</v>
      </c>
      <c r="O21" s="4">
        <f t="shared" si="0"/>
        <v>8</v>
      </c>
      <c r="P21" s="3"/>
      <c r="Q21" s="6" t="str">
        <f t="shared" si="1"/>
        <v>OK</v>
      </c>
      <c r="R21" s="6" t="s">
        <v>51</v>
      </c>
    </row>
    <row r="22" spans="1:18" ht="33.950000000000003" customHeight="1" x14ac:dyDescent="0.25">
      <c r="A22" s="10">
        <v>21</v>
      </c>
      <c r="B22" s="2" t="s">
        <v>49</v>
      </c>
      <c r="C22" s="2" t="s">
        <v>20</v>
      </c>
      <c r="D22" s="2" t="s">
        <v>39</v>
      </c>
      <c r="E22" s="2" t="s">
        <v>40</v>
      </c>
      <c r="F22" s="10">
        <v>8</v>
      </c>
      <c r="G22" s="2" t="s">
        <v>31</v>
      </c>
      <c r="H22" s="7" t="str">
        <f>HYPERLINK("mast3r/outputs/eth3d_boulders_scen_4/reconstruction.glb","mast3r/outputs/eth3d_boulders_scen_4/reconstruction.glb")</f>
        <v>mast3r/outputs/eth3d_boulders_scen_4/reconstruction.glb</v>
      </c>
      <c r="I22" s="6" t="s">
        <v>50</v>
      </c>
      <c r="J22" s="3" t="s">
        <v>25</v>
      </c>
      <c r="K22" s="3">
        <v>1</v>
      </c>
      <c r="L22" s="3">
        <v>2</v>
      </c>
      <c r="M22" s="3">
        <v>1</v>
      </c>
      <c r="N22" s="3">
        <v>1</v>
      </c>
      <c r="O22" s="4">
        <f t="shared" si="0"/>
        <v>5</v>
      </c>
      <c r="P22" s="3"/>
      <c r="Q22" s="6" t="str">
        <f t="shared" si="1"/>
        <v>OK</v>
      </c>
      <c r="R22" s="6" t="s">
        <v>51</v>
      </c>
    </row>
    <row r="23" spans="1:18" ht="33.950000000000003" customHeight="1" x14ac:dyDescent="0.25">
      <c r="A23" s="10">
        <v>22</v>
      </c>
      <c r="B23" s="2" t="s">
        <v>49</v>
      </c>
      <c r="C23" s="2" t="s">
        <v>20</v>
      </c>
      <c r="D23" s="2" t="s">
        <v>39</v>
      </c>
      <c r="E23" s="2" t="s">
        <v>40</v>
      </c>
      <c r="F23" s="10">
        <v>8</v>
      </c>
      <c r="G23" s="2" t="s">
        <v>27</v>
      </c>
      <c r="H23" s="7" t="str">
        <f>HYPERLINK("mapany/outputs/eth3d_boulders_scen_4/reconstruction.glb","mapany/outputs/eth3d_boulders_scen_4/reconstruction.glb")</f>
        <v>mapany/outputs/eth3d_boulders_scen_4/reconstruction.glb</v>
      </c>
      <c r="I23" s="6" t="s">
        <v>50</v>
      </c>
      <c r="J23" s="3" t="s">
        <v>25</v>
      </c>
      <c r="K23" s="3">
        <v>3</v>
      </c>
      <c r="L23" s="3">
        <v>2</v>
      </c>
      <c r="M23" s="3">
        <v>2</v>
      </c>
      <c r="N23" s="3">
        <v>2</v>
      </c>
      <c r="O23" s="4">
        <f t="shared" si="0"/>
        <v>9</v>
      </c>
      <c r="P23" s="3"/>
      <c r="Q23" s="6" t="str">
        <f t="shared" si="1"/>
        <v>OK</v>
      </c>
      <c r="R23" s="6" t="s">
        <v>51</v>
      </c>
    </row>
    <row r="24" spans="1:18" ht="33.950000000000003" customHeight="1" x14ac:dyDescent="0.25">
      <c r="A24" s="10">
        <v>23</v>
      </c>
      <c r="B24" s="2" t="s">
        <v>52</v>
      </c>
      <c r="C24" s="2" t="s">
        <v>20</v>
      </c>
      <c r="D24" s="2" t="s">
        <v>53</v>
      </c>
      <c r="E24" s="2" t="s">
        <v>54</v>
      </c>
      <c r="F24" s="10">
        <v>1</v>
      </c>
      <c r="G24" s="2" t="s">
        <v>23</v>
      </c>
      <c r="H24" s="7" t="str">
        <f>HYPERLINK("vggt/outputs/eth3d_bridge_scen_1/reconstruction.glb","vggt/outputs/eth3d_bridge_scen_1/reconstruction.glb")</f>
        <v>vggt/outputs/eth3d_bridge_scen_1/reconstruction.glb</v>
      </c>
      <c r="I24" s="6" t="s">
        <v>55</v>
      </c>
      <c r="J24" s="3" t="s">
        <v>25</v>
      </c>
      <c r="K24" s="3">
        <v>1</v>
      </c>
      <c r="L24" s="3">
        <v>3</v>
      </c>
      <c r="M24" s="3">
        <v>3</v>
      </c>
      <c r="N24" s="3">
        <v>1</v>
      </c>
      <c r="O24" s="4">
        <f t="shared" si="0"/>
        <v>8</v>
      </c>
      <c r="P24" s="3"/>
      <c r="Q24" s="6" t="str">
        <f t="shared" si="1"/>
        <v>OK</v>
      </c>
      <c r="R24" s="6" t="s">
        <v>56</v>
      </c>
    </row>
    <row r="25" spans="1:18" ht="33.950000000000003" customHeight="1" x14ac:dyDescent="0.25">
      <c r="A25" s="10">
        <v>24</v>
      </c>
      <c r="B25" s="2" t="s">
        <v>52</v>
      </c>
      <c r="C25" s="2" t="s">
        <v>20</v>
      </c>
      <c r="D25" s="2" t="s">
        <v>53</v>
      </c>
      <c r="E25" s="2" t="s">
        <v>54</v>
      </c>
      <c r="F25" s="10">
        <v>1</v>
      </c>
      <c r="G25" s="2" t="s">
        <v>27</v>
      </c>
      <c r="H25" s="7" t="str">
        <f>HYPERLINK("mapany/outputs/eth3d_bridge_scen_1/reconstruction.glb","mapany/outputs/eth3d_bridge_scen_1/reconstruction.glb")</f>
        <v>mapany/outputs/eth3d_bridge_scen_1/reconstruction.glb</v>
      </c>
      <c r="I25" s="6" t="s">
        <v>55</v>
      </c>
      <c r="J25" s="3" t="s">
        <v>25</v>
      </c>
      <c r="K25" s="3">
        <v>2</v>
      </c>
      <c r="L25" s="3">
        <v>2</v>
      </c>
      <c r="M25" s="3">
        <v>2</v>
      </c>
      <c r="N25" s="3">
        <v>2</v>
      </c>
      <c r="O25" s="4">
        <f t="shared" si="0"/>
        <v>8</v>
      </c>
      <c r="P25" s="3"/>
      <c r="Q25" s="6" t="str">
        <f t="shared" si="1"/>
        <v>OK</v>
      </c>
      <c r="R25" s="6" t="s">
        <v>56</v>
      </c>
    </row>
    <row r="26" spans="1:18" ht="33.950000000000003" customHeight="1" x14ac:dyDescent="0.25">
      <c r="A26" s="10">
        <v>25</v>
      </c>
      <c r="B26" s="2" t="s">
        <v>57</v>
      </c>
      <c r="C26" s="2" t="s">
        <v>20</v>
      </c>
      <c r="D26" s="2" t="s">
        <v>53</v>
      </c>
      <c r="E26" s="2" t="s">
        <v>54</v>
      </c>
      <c r="F26" s="10">
        <v>2</v>
      </c>
      <c r="G26" s="2" t="s">
        <v>23</v>
      </c>
      <c r="H26" s="7" t="str">
        <f>HYPERLINK("vggt/outputs/eth3d_bridge_scen_2/reconstruction.glb","vggt/outputs/eth3d_bridge_scen_2/reconstruction.glb")</f>
        <v>vggt/outputs/eth3d_bridge_scen_2/reconstruction.glb</v>
      </c>
      <c r="I26" s="6" t="s">
        <v>58</v>
      </c>
      <c r="J26" s="3" t="s">
        <v>25</v>
      </c>
      <c r="K26" s="3">
        <v>1</v>
      </c>
      <c r="L26" s="3">
        <v>3</v>
      </c>
      <c r="M26" s="3">
        <v>3</v>
      </c>
      <c r="N26" s="3">
        <v>1</v>
      </c>
      <c r="O26" s="4">
        <f t="shared" si="0"/>
        <v>8</v>
      </c>
      <c r="P26" s="3"/>
      <c r="Q26" s="6" t="str">
        <f t="shared" si="1"/>
        <v>OK</v>
      </c>
      <c r="R26" s="6" t="s">
        <v>59</v>
      </c>
    </row>
    <row r="27" spans="1:18" ht="33.950000000000003" customHeight="1" x14ac:dyDescent="0.25">
      <c r="A27" s="10">
        <v>26</v>
      </c>
      <c r="B27" s="2" t="s">
        <v>57</v>
      </c>
      <c r="C27" s="2" t="s">
        <v>20</v>
      </c>
      <c r="D27" s="2" t="s">
        <v>53</v>
      </c>
      <c r="E27" s="2" t="s">
        <v>54</v>
      </c>
      <c r="F27" s="10">
        <v>2</v>
      </c>
      <c r="G27" s="2" t="s">
        <v>31</v>
      </c>
      <c r="H27" s="7" t="str">
        <f>HYPERLINK("mast3r/outputs/eth3d_bridge_scen_2/reconstruction.glb","mast3r/outputs/eth3d_bridge_scen_2/reconstruction.glb")</f>
        <v>mast3r/outputs/eth3d_bridge_scen_2/reconstruction.glb</v>
      </c>
      <c r="I27" s="6" t="s">
        <v>58</v>
      </c>
      <c r="J27" s="3" t="s">
        <v>25</v>
      </c>
      <c r="K27" s="3">
        <v>2</v>
      </c>
      <c r="L27" s="3">
        <v>3</v>
      </c>
      <c r="M27" s="3">
        <v>2</v>
      </c>
      <c r="N27" s="3">
        <v>2</v>
      </c>
      <c r="O27" s="4">
        <f t="shared" si="0"/>
        <v>9</v>
      </c>
      <c r="P27" s="3"/>
      <c r="Q27" s="6" t="str">
        <f t="shared" si="1"/>
        <v>OK</v>
      </c>
      <c r="R27" s="6" t="s">
        <v>59</v>
      </c>
    </row>
    <row r="28" spans="1:18" ht="33.950000000000003" customHeight="1" x14ac:dyDescent="0.25">
      <c r="A28" s="10">
        <v>27</v>
      </c>
      <c r="B28" s="2" t="s">
        <v>57</v>
      </c>
      <c r="C28" s="2" t="s">
        <v>20</v>
      </c>
      <c r="D28" s="2" t="s">
        <v>53</v>
      </c>
      <c r="E28" s="2" t="s">
        <v>54</v>
      </c>
      <c r="F28" s="10">
        <v>2</v>
      </c>
      <c r="G28" s="2" t="s">
        <v>27</v>
      </c>
      <c r="H28" s="7" t="str">
        <f>HYPERLINK("mapany/outputs/eth3d_bridge_scen_2/reconstruction.glb","mapany/outputs/eth3d_bridge_scen_2/reconstruction.glb")</f>
        <v>mapany/outputs/eth3d_bridge_scen_2/reconstruction.glb</v>
      </c>
      <c r="I28" s="6" t="s">
        <v>58</v>
      </c>
      <c r="J28" s="3" t="s">
        <v>25</v>
      </c>
      <c r="K28" s="3">
        <v>3</v>
      </c>
      <c r="L28" s="3">
        <v>2</v>
      </c>
      <c r="M28" s="3">
        <v>2</v>
      </c>
      <c r="N28" s="3">
        <v>2</v>
      </c>
      <c r="O28" s="4">
        <f t="shared" si="0"/>
        <v>9</v>
      </c>
      <c r="P28" s="3"/>
      <c r="Q28" s="6" t="str">
        <f t="shared" si="1"/>
        <v>OK</v>
      </c>
      <c r="R28" s="6" t="s">
        <v>59</v>
      </c>
    </row>
    <row r="29" spans="1:18" ht="33.950000000000003" customHeight="1" x14ac:dyDescent="0.25">
      <c r="A29" s="10">
        <v>28</v>
      </c>
      <c r="B29" s="2" t="s">
        <v>60</v>
      </c>
      <c r="C29" s="2" t="s">
        <v>20</v>
      </c>
      <c r="D29" s="2" t="s">
        <v>53</v>
      </c>
      <c r="E29" s="2" t="s">
        <v>54</v>
      </c>
      <c r="F29" s="10">
        <v>4</v>
      </c>
      <c r="G29" s="2" t="s">
        <v>23</v>
      </c>
      <c r="H29" s="7" t="str">
        <f>HYPERLINK("vggt/outputs/eth3d_bridge_scen_3/reconstruction.glb","vggt/outputs/eth3d_bridge_scen_3/reconstruction.glb")</f>
        <v>vggt/outputs/eth3d_bridge_scen_3/reconstruction.glb</v>
      </c>
      <c r="I29" s="6" t="s">
        <v>61</v>
      </c>
      <c r="J29" s="3" t="s">
        <v>25</v>
      </c>
      <c r="K29" s="3">
        <v>1</v>
      </c>
      <c r="L29" s="3">
        <v>2</v>
      </c>
      <c r="M29" s="3">
        <v>2</v>
      </c>
      <c r="N29" s="3">
        <v>1</v>
      </c>
      <c r="O29" s="4">
        <f t="shared" si="0"/>
        <v>6</v>
      </c>
      <c r="P29" s="3"/>
      <c r="Q29" s="6" t="str">
        <f t="shared" si="1"/>
        <v>OK</v>
      </c>
      <c r="R29" s="6" t="s">
        <v>62</v>
      </c>
    </row>
    <row r="30" spans="1:18" ht="33.950000000000003" customHeight="1" x14ac:dyDescent="0.25">
      <c r="A30" s="10">
        <v>29</v>
      </c>
      <c r="B30" s="2" t="s">
        <v>60</v>
      </c>
      <c r="C30" s="2" t="s">
        <v>20</v>
      </c>
      <c r="D30" s="2" t="s">
        <v>53</v>
      </c>
      <c r="E30" s="2" t="s">
        <v>54</v>
      </c>
      <c r="F30" s="10">
        <v>4</v>
      </c>
      <c r="G30" s="2" t="s">
        <v>31</v>
      </c>
      <c r="H30" s="7" t="str">
        <f>HYPERLINK("mast3r/outputs/eth3d_bridge_scen_3/reconstruction.glb","mast3r/outputs/eth3d_bridge_scen_3/reconstruction.glb")</f>
        <v>mast3r/outputs/eth3d_bridge_scen_3/reconstruction.glb</v>
      </c>
      <c r="I30" s="6" t="s">
        <v>61</v>
      </c>
      <c r="J30" s="3" t="s">
        <v>25</v>
      </c>
      <c r="K30" s="3">
        <v>2</v>
      </c>
      <c r="L30" s="3">
        <v>2</v>
      </c>
      <c r="M30" s="3">
        <v>1</v>
      </c>
      <c r="N30" s="3">
        <v>2</v>
      </c>
      <c r="O30" s="4">
        <f t="shared" si="0"/>
        <v>7</v>
      </c>
      <c r="P30" s="3"/>
      <c r="Q30" s="6" t="str">
        <f t="shared" si="1"/>
        <v>OK</v>
      </c>
      <c r="R30" s="6" t="s">
        <v>62</v>
      </c>
    </row>
    <row r="31" spans="1:18" ht="33.950000000000003" customHeight="1" x14ac:dyDescent="0.25">
      <c r="A31" s="10">
        <v>30</v>
      </c>
      <c r="B31" s="2" t="s">
        <v>60</v>
      </c>
      <c r="C31" s="2" t="s">
        <v>20</v>
      </c>
      <c r="D31" s="2" t="s">
        <v>53</v>
      </c>
      <c r="E31" s="2" t="s">
        <v>54</v>
      </c>
      <c r="F31" s="10">
        <v>4</v>
      </c>
      <c r="G31" s="2" t="s">
        <v>27</v>
      </c>
      <c r="H31" s="7" t="str">
        <f>HYPERLINK("mapany/outputs/eth3d_bridge_scen_3/reconstruction.glb","mapany/outputs/eth3d_bridge_scen_3/reconstruction.glb")</f>
        <v>mapany/outputs/eth3d_bridge_scen_3/reconstruction.glb</v>
      </c>
      <c r="I31" s="6" t="s">
        <v>61</v>
      </c>
      <c r="J31" s="3" t="s">
        <v>25</v>
      </c>
      <c r="K31" s="3">
        <v>3</v>
      </c>
      <c r="L31" s="3">
        <v>2</v>
      </c>
      <c r="M31" s="3">
        <v>3</v>
      </c>
      <c r="N31" s="3">
        <v>3</v>
      </c>
      <c r="O31" s="4">
        <f t="shared" si="0"/>
        <v>11</v>
      </c>
      <c r="P31" s="3"/>
      <c r="Q31" s="6" t="str">
        <f t="shared" si="1"/>
        <v>OK</v>
      </c>
      <c r="R31" s="6" t="s">
        <v>62</v>
      </c>
    </row>
    <row r="32" spans="1:18" ht="33.950000000000003" customHeight="1" x14ac:dyDescent="0.25">
      <c r="A32" s="10">
        <v>31</v>
      </c>
      <c r="B32" s="2" t="s">
        <v>63</v>
      </c>
      <c r="C32" s="2" t="s">
        <v>20</v>
      </c>
      <c r="D32" s="2" t="s">
        <v>53</v>
      </c>
      <c r="E32" s="2" t="s">
        <v>54</v>
      </c>
      <c r="F32" s="10">
        <v>8</v>
      </c>
      <c r="G32" s="2" t="s">
        <v>23</v>
      </c>
      <c r="H32" s="7" t="str">
        <f>HYPERLINK("vggt/outputs/eth3d_bridge_scen_4/reconstruction.glb","vggt/outputs/eth3d_bridge_scen_4/reconstruction.glb")</f>
        <v>vggt/outputs/eth3d_bridge_scen_4/reconstruction.glb</v>
      </c>
      <c r="I32" s="6" t="s">
        <v>64</v>
      </c>
      <c r="J32" s="3" t="s">
        <v>25</v>
      </c>
      <c r="K32" s="3">
        <v>1</v>
      </c>
      <c r="L32" s="3">
        <v>0</v>
      </c>
      <c r="M32" s="3">
        <v>2</v>
      </c>
      <c r="N32" s="3">
        <v>1</v>
      </c>
      <c r="O32" s="4">
        <f t="shared" si="0"/>
        <v>4</v>
      </c>
      <c r="P32" s="3"/>
      <c r="Q32" s="6" t="str">
        <f t="shared" si="1"/>
        <v>OK</v>
      </c>
      <c r="R32" s="6" t="s">
        <v>65</v>
      </c>
    </row>
    <row r="33" spans="1:18" ht="33.950000000000003" customHeight="1" x14ac:dyDescent="0.25">
      <c r="A33" s="10">
        <v>32</v>
      </c>
      <c r="B33" s="2" t="s">
        <v>63</v>
      </c>
      <c r="C33" s="2" t="s">
        <v>20</v>
      </c>
      <c r="D33" s="2" t="s">
        <v>53</v>
      </c>
      <c r="E33" s="2" t="s">
        <v>54</v>
      </c>
      <c r="F33" s="10">
        <v>8</v>
      </c>
      <c r="G33" s="2" t="s">
        <v>31</v>
      </c>
      <c r="H33" s="7" t="str">
        <f>HYPERLINK("mast3r/outputs/eth3d_bridge_scen_4/reconstruction.glb","mast3r/outputs/eth3d_bridge_scen_4/reconstruction.glb")</f>
        <v>mast3r/outputs/eth3d_bridge_scen_4/reconstruction.glb</v>
      </c>
      <c r="I33" s="6" t="s">
        <v>64</v>
      </c>
      <c r="J33" s="3" t="s">
        <v>25</v>
      </c>
      <c r="K33" s="3">
        <v>1</v>
      </c>
      <c r="L33" s="3">
        <v>0</v>
      </c>
      <c r="M33" s="3">
        <v>0</v>
      </c>
      <c r="N33" s="3">
        <v>1</v>
      </c>
      <c r="O33" s="4">
        <f t="shared" si="0"/>
        <v>2</v>
      </c>
      <c r="P33" s="3"/>
      <c r="Q33" s="6" t="str">
        <f t="shared" si="1"/>
        <v>OK</v>
      </c>
      <c r="R33" s="6" t="s">
        <v>65</v>
      </c>
    </row>
    <row r="34" spans="1:18" ht="33.950000000000003" customHeight="1" x14ac:dyDescent="0.25">
      <c r="A34" s="10">
        <v>33</v>
      </c>
      <c r="B34" s="2" t="s">
        <v>63</v>
      </c>
      <c r="C34" s="2" t="s">
        <v>20</v>
      </c>
      <c r="D34" s="2" t="s">
        <v>53</v>
      </c>
      <c r="E34" s="2" t="s">
        <v>54</v>
      </c>
      <c r="F34" s="10">
        <v>8</v>
      </c>
      <c r="G34" s="2" t="s">
        <v>27</v>
      </c>
      <c r="H34" s="7" t="str">
        <f>HYPERLINK("mapany/outputs/eth3d_bridge_scen_4/reconstruction.glb","mapany/outputs/eth3d_bridge_scen_4/reconstruction.glb")</f>
        <v>mapany/outputs/eth3d_bridge_scen_4/reconstruction.glb</v>
      </c>
      <c r="I34" s="6" t="s">
        <v>64</v>
      </c>
      <c r="J34" s="3" t="s">
        <v>25</v>
      </c>
      <c r="K34" s="3">
        <v>2</v>
      </c>
      <c r="L34" s="3">
        <v>2</v>
      </c>
      <c r="M34" s="3">
        <v>1</v>
      </c>
      <c r="N34" s="3">
        <v>2</v>
      </c>
      <c r="O34" s="4">
        <f t="shared" si="0"/>
        <v>7</v>
      </c>
      <c r="P34" s="3"/>
      <c r="Q34" s="6" t="str">
        <f t="shared" si="1"/>
        <v>OK</v>
      </c>
      <c r="R34" s="6" t="s">
        <v>65</v>
      </c>
    </row>
    <row r="35" spans="1:18" ht="33.950000000000003" customHeight="1" x14ac:dyDescent="0.25">
      <c r="A35" s="10">
        <v>34</v>
      </c>
      <c r="B35" s="2" t="s">
        <v>66</v>
      </c>
      <c r="C35" s="2" t="s">
        <v>67</v>
      </c>
      <c r="D35" s="2" t="s">
        <v>68</v>
      </c>
      <c r="E35" s="2" t="s">
        <v>22</v>
      </c>
      <c r="F35" s="10">
        <v>1</v>
      </c>
      <c r="G35" s="2" t="s">
        <v>23</v>
      </c>
      <c r="H35" s="7" t="str">
        <f>HYPERLINK("vggt/outputs/custom_bush_1_scen_1/reconstruction.glb","vggt/outputs/custom_bush_1_scen_1/reconstruction.glb")</f>
        <v>vggt/outputs/custom_bush_1_scen_1/reconstruction.glb</v>
      </c>
      <c r="I35" s="6" t="s">
        <v>69</v>
      </c>
      <c r="J35" s="3" t="s">
        <v>25</v>
      </c>
      <c r="K35" s="3">
        <v>1</v>
      </c>
      <c r="L35" s="3">
        <v>1</v>
      </c>
      <c r="M35" s="3">
        <v>2</v>
      </c>
      <c r="N35" s="3">
        <v>1</v>
      </c>
      <c r="O35" s="4">
        <f t="shared" si="0"/>
        <v>5</v>
      </c>
      <c r="P35" s="3"/>
      <c r="Q35" s="6" t="str">
        <f t="shared" si="1"/>
        <v>OK</v>
      </c>
      <c r="R35" s="6" t="s">
        <v>70</v>
      </c>
    </row>
    <row r="36" spans="1:18" ht="33.950000000000003" customHeight="1" x14ac:dyDescent="0.25">
      <c r="A36" s="10">
        <v>35</v>
      </c>
      <c r="B36" s="2" t="s">
        <v>66</v>
      </c>
      <c r="C36" s="2" t="s">
        <v>67</v>
      </c>
      <c r="D36" s="2" t="s">
        <v>68</v>
      </c>
      <c r="E36" s="2" t="s">
        <v>22</v>
      </c>
      <c r="F36" s="10">
        <v>1</v>
      </c>
      <c r="G36" s="2" t="s">
        <v>27</v>
      </c>
      <c r="H36" s="7" t="str">
        <f>HYPERLINK("mapany/outputs/custom_bush_1_scen_1/reconstruction.glb","mapany/outputs/custom_bush_1_scen_1/reconstruction.glb")</f>
        <v>mapany/outputs/custom_bush_1_scen_1/reconstruction.glb</v>
      </c>
      <c r="I36" s="6" t="s">
        <v>69</v>
      </c>
      <c r="J36" s="3" t="s">
        <v>25</v>
      </c>
      <c r="K36" s="3">
        <v>2</v>
      </c>
      <c r="L36" s="3">
        <v>1</v>
      </c>
      <c r="M36" s="3">
        <v>1</v>
      </c>
      <c r="N36" s="3">
        <v>2</v>
      </c>
      <c r="O36" s="4">
        <f t="shared" si="0"/>
        <v>6</v>
      </c>
      <c r="P36" s="3"/>
      <c r="Q36" s="6" t="str">
        <f t="shared" si="1"/>
        <v>OK</v>
      </c>
      <c r="R36" s="6" t="s">
        <v>70</v>
      </c>
    </row>
    <row r="37" spans="1:18" ht="33.950000000000003" customHeight="1" x14ac:dyDescent="0.25">
      <c r="A37" s="10">
        <v>36</v>
      </c>
      <c r="B37" s="2" t="s">
        <v>71</v>
      </c>
      <c r="C37" s="2" t="s">
        <v>67</v>
      </c>
      <c r="D37" s="2" t="s">
        <v>68</v>
      </c>
      <c r="E37" s="2" t="s">
        <v>22</v>
      </c>
      <c r="F37" s="10">
        <v>2</v>
      </c>
      <c r="G37" s="2" t="s">
        <v>23</v>
      </c>
      <c r="H37" s="7" t="str">
        <f>HYPERLINK("vggt/outputs/custom_bush_1_scen_2/reconstruction.glb","vggt/outputs/custom_bush_1_scen_2/reconstruction.glb")</f>
        <v>vggt/outputs/custom_bush_1_scen_2/reconstruction.glb</v>
      </c>
      <c r="I37" s="6" t="s">
        <v>72</v>
      </c>
      <c r="J37" s="3" t="s">
        <v>25</v>
      </c>
      <c r="K37" s="3">
        <v>1</v>
      </c>
      <c r="L37" s="3">
        <v>1</v>
      </c>
      <c r="M37" s="3">
        <v>2</v>
      </c>
      <c r="N37" s="3">
        <v>1</v>
      </c>
      <c r="O37" s="4">
        <f t="shared" si="0"/>
        <v>5</v>
      </c>
      <c r="P37" s="3"/>
      <c r="Q37" s="6" t="str">
        <f t="shared" si="1"/>
        <v>OK</v>
      </c>
      <c r="R37" s="6" t="s">
        <v>73</v>
      </c>
    </row>
    <row r="38" spans="1:18" ht="33.950000000000003" customHeight="1" x14ac:dyDescent="0.25">
      <c r="A38" s="10">
        <v>37</v>
      </c>
      <c r="B38" s="2" t="s">
        <v>71</v>
      </c>
      <c r="C38" s="2" t="s">
        <v>67</v>
      </c>
      <c r="D38" s="2" t="s">
        <v>68</v>
      </c>
      <c r="E38" s="2" t="s">
        <v>22</v>
      </c>
      <c r="F38" s="10">
        <v>2</v>
      </c>
      <c r="G38" s="2" t="s">
        <v>31</v>
      </c>
      <c r="H38" s="7" t="str">
        <f>HYPERLINK("mast3r/outputs/custom_bush_1_scen_2/reconstruction.glb","mast3r/outputs/custom_bush_1_scen_2/reconstruction.glb")</f>
        <v>mast3r/outputs/custom_bush_1_scen_2/reconstruction.glb</v>
      </c>
      <c r="I38" s="6" t="s">
        <v>72</v>
      </c>
      <c r="J38" s="3" t="s">
        <v>25</v>
      </c>
      <c r="K38" s="3">
        <v>1</v>
      </c>
      <c r="L38" s="3">
        <v>1</v>
      </c>
      <c r="M38" s="3">
        <v>2</v>
      </c>
      <c r="N38" s="3">
        <v>1</v>
      </c>
      <c r="O38" s="4">
        <f t="shared" si="0"/>
        <v>5</v>
      </c>
      <c r="P38" s="3"/>
      <c r="Q38" s="6" t="str">
        <f t="shared" si="1"/>
        <v>OK</v>
      </c>
      <c r="R38" s="6" t="s">
        <v>73</v>
      </c>
    </row>
    <row r="39" spans="1:18" ht="33.950000000000003" customHeight="1" x14ac:dyDescent="0.25">
      <c r="A39" s="10">
        <v>38</v>
      </c>
      <c r="B39" s="2" t="s">
        <v>71</v>
      </c>
      <c r="C39" s="2" t="s">
        <v>67</v>
      </c>
      <c r="D39" s="2" t="s">
        <v>68</v>
      </c>
      <c r="E39" s="2" t="s">
        <v>22</v>
      </c>
      <c r="F39" s="10">
        <v>2</v>
      </c>
      <c r="G39" s="2" t="s">
        <v>27</v>
      </c>
      <c r="H39" s="7" t="str">
        <f>HYPERLINK("mapany/outputs/custom_bush_1_scen_2/reconstruction.glb","mapany/outputs/custom_bush_1_scen_2/reconstruction.glb")</f>
        <v>mapany/outputs/custom_bush_1_scen_2/reconstruction.glb</v>
      </c>
      <c r="I39" s="6" t="s">
        <v>72</v>
      </c>
      <c r="J39" s="3" t="s">
        <v>25</v>
      </c>
      <c r="K39" s="3">
        <v>2</v>
      </c>
      <c r="L39" s="3">
        <v>1</v>
      </c>
      <c r="M39" s="3">
        <v>1</v>
      </c>
      <c r="N39" s="3">
        <v>2</v>
      </c>
      <c r="O39" s="4">
        <f t="shared" si="0"/>
        <v>6</v>
      </c>
      <c r="P39" s="3"/>
      <c r="Q39" s="6" t="str">
        <f t="shared" si="1"/>
        <v>OK</v>
      </c>
      <c r="R39" s="6" t="s">
        <v>73</v>
      </c>
    </row>
    <row r="40" spans="1:18" ht="33.950000000000003" customHeight="1" x14ac:dyDescent="0.25">
      <c r="A40" s="10">
        <v>39</v>
      </c>
      <c r="B40" s="2" t="s">
        <v>74</v>
      </c>
      <c r="C40" s="2" t="s">
        <v>67</v>
      </c>
      <c r="D40" s="2" t="s">
        <v>68</v>
      </c>
      <c r="E40" s="2" t="s">
        <v>22</v>
      </c>
      <c r="F40" s="10">
        <v>4</v>
      </c>
      <c r="G40" s="2" t="s">
        <v>23</v>
      </c>
      <c r="H40" s="7" t="str">
        <f>HYPERLINK("vggt/outputs/custom_bush_1_scen_3/reconstruction.glb","vggt/outputs/custom_bush_1_scen_3/reconstruction.glb")</f>
        <v>vggt/outputs/custom_bush_1_scen_3/reconstruction.glb</v>
      </c>
      <c r="I40" s="6" t="s">
        <v>75</v>
      </c>
      <c r="J40" s="3" t="s">
        <v>25</v>
      </c>
      <c r="K40" s="3">
        <v>1</v>
      </c>
      <c r="L40" s="3">
        <v>1</v>
      </c>
      <c r="M40" s="3">
        <v>2</v>
      </c>
      <c r="N40" s="3">
        <v>1</v>
      </c>
      <c r="O40" s="4">
        <f t="shared" si="0"/>
        <v>5</v>
      </c>
      <c r="P40" s="3"/>
      <c r="Q40" s="6" t="str">
        <f t="shared" si="1"/>
        <v>OK</v>
      </c>
      <c r="R40" s="6" t="s">
        <v>76</v>
      </c>
    </row>
    <row r="41" spans="1:18" ht="33.950000000000003" customHeight="1" x14ac:dyDescent="0.25">
      <c r="A41" s="10">
        <v>40</v>
      </c>
      <c r="B41" s="2" t="s">
        <v>74</v>
      </c>
      <c r="C41" s="2" t="s">
        <v>67</v>
      </c>
      <c r="D41" s="2" t="s">
        <v>68</v>
      </c>
      <c r="E41" s="2" t="s">
        <v>22</v>
      </c>
      <c r="F41" s="10">
        <v>4</v>
      </c>
      <c r="G41" s="2" t="s">
        <v>31</v>
      </c>
      <c r="H41" s="7" t="str">
        <f>HYPERLINK("mast3r/outputs/custom_bush_1_scen_3/reconstruction.glb","mast3r/outputs/custom_bush_1_scen_3/reconstruction.glb")</f>
        <v>mast3r/outputs/custom_bush_1_scen_3/reconstruction.glb</v>
      </c>
      <c r="I41" s="6" t="s">
        <v>75</v>
      </c>
      <c r="J41" s="3" t="s">
        <v>25</v>
      </c>
      <c r="K41" s="3">
        <v>1</v>
      </c>
      <c r="L41" s="3">
        <v>1</v>
      </c>
      <c r="M41" s="3">
        <v>2</v>
      </c>
      <c r="N41" s="3">
        <v>1</v>
      </c>
      <c r="O41" s="4">
        <f t="shared" si="0"/>
        <v>5</v>
      </c>
      <c r="P41" s="3"/>
      <c r="Q41" s="6" t="str">
        <f t="shared" si="1"/>
        <v>OK</v>
      </c>
      <c r="R41" s="6" t="s">
        <v>76</v>
      </c>
    </row>
    <row r="42" spans="1:18" ht="33.950000000000003" customHeight="1" x14ac:dyDescent="0.25">
      <c r="A42" s="10">
        <v>41</v>
      </c>
      <c r="B42" s="2" t="s">
        <v>74</v>
      </c>
      <c r="C42" s="2" t="s">
        <v>67</v>
      </c>
      <c r="D42" s="2" t="s">
        <v>68</v>
      </c>
      <c r="E42" s="2" t="s">
        <v>22</v>
      </c>
      <c r="F42" s="10">
        <v>4</v>
      </c>
      <c r="G42" s="2" t="s">
        <v>27</v>
      </c>
      <c r="H42" s="7" t="str">
        <f>HYPERLINK("mapany/outputs/custom_bush_1_scen_3/reconstruction.glb","mapany/outputs/custom_bush_1_scen_3/reconstruction.glb")</f>
        <v>mapany/outputs/custom_bush_1_scen_3/reconstruction.glb</v>
      </c>
      <c r="I42" s="6" t="s">
        <v>75</v>
      </c>
      <c r="J42" s="3" t="s">
        <v>25</v>
      </c>
      <c r="K42" s="3">
        <v>2</v>
      </c>
      <c r="L42" s="3">
        <v>1</v>
      </c>
      <c r="M42" s="3">
        <v>1</v>
      </c>
      <c r="N42" s="3">
        <v>2</v>
      </c>
      <c r="O42" s="4">
        <f t="shared" si="0"/>
        <v>6</v>
      </c>
      <c r="P42" s="3"/>
      <c r="Q42" s="6" t="str">
        <f t="shared" si="1"/>
        <v>OK</v>
      </c>
      <c r="R42" s="6" t="s">
        <v>76</v>
      </c>
    </row>
    <row r="43" spans="1:18" ht="33.950000000000003" customHeight="1" x14ac:dyDescent="0.25">
      <c r="A43" s="10">
        <v>42</v>
      </c>
      <c r="B43" s="2" t="s">
        <v>77</v>
      </c>
      <c r="C43" s="2" t="s">
        <v>67</v>
      </c>
      <c r="D43" s="2" t="s">
        <v>68</v>
      </c>
      <c r="E43" s="2" t="s">
        <v>22</v>
      </c>
      <c r="F43" s="10">
        <v>8</v>
      </c>
      <c r="G43" s="2" t="s">
        <v>23</v>
      </c>
      <c r="H43" s="7" t="str">
        <f>HYPERLINK("vggt/outputs/custom_bush_1_scen_4/reconstruction.glb","vggt/outputs/custom_bush_1_scen_4/reconstruction.glb")</f>
        <v>vggt/outputs/custom_bush_1_scen_4/reconstruction.glb</v>
      </c>
      <c r="I43" s="6" t="s">
        <v>78</v>
      </c>
      <c r="J43" s="3" t="s">
        <v>25</v>
      </c>
      <c r="K43" s="3">
        <v>1</v>
      </c>
      <c r="L43" s="3">
        <v>2</v>
      </c>
      <c r="M43" s="3">
        <v>2</v>
      </c>
      <c r="N43" s="3">
        <v>1</v>
      </c>
      <c r="O43" s="4">
        <f t="shared" si="0"/>
        <v>6</v>
      </c>
      <c r="P43" s="3"/>
      <c r="Q43" s="6" t="str">
        <f t="shared" si="1"/>
        <v>OK</v>
      </c>
      <c r="R43" s="6" t="s">
        <v>79</v>
      </c>
    </row>
    <row r="44" spans="1:18" ht="33.950000000000003" customHeight="1" x14ac:dyDescent="0.25">
      <c r="A44" s="10">
        <v>43</v>
      </c>
      <c r="B44" s="2" t="s">
        <v>77</v>
      </c>
      <c r="C44" s="2" t="s">
        <v>67</v>
      </c>
      <c r="D44" s="2" t="s">
        <v>68</v>
      </c>
      <c r="E44" s="2" t="s">
        <v>22</v>
      </c>
      <c r="F44" s="10">
        <v>8</v>
      </c>
      <c r="G44" s="2" t="s">
        <v>31</v>
      </c>
      <c r="H44" s="7" t="str">
        <f>HYPERLINK("mast3r/outputs/custom_bush_1_scen_4/reconstruction.glb","mast3r/outputs/custom_bush_1_scen_4/reconstruction.glb")</f>
        <v>mast3r/outputs/custom_bush_1_scen_4/reconstruction.glb</v>
      </c>
      <c r="I44" s="6" t="s">
        <v>78</v>
      </c>
      <c r="J44" s="3" t="s">
        <v>25</v>
      </c>
      <c r="K44" s="3">
        <v>1</v>
      </c>
      <c r="L44" s="3">
        <v>2</v>
      </c>
      <c r="M44" s="3">
        <v>2</v>
      </c>
      <c r="N44" s="3">
        <v>1</v>
      </c>
      <c r="O44" s="4">
        <f t="shared" si="0"/>
        <v>6</v>
      </c>
      <c r="P44" s="3"/>
      <c r="Q44" s="6" t="str">
        <f t="shared" si="1"/>
        <v>OK</v>
      </c>
      <c r="R44" s="6" t="s">
        <v>79</v>
      </c>
    </row>
    <row r="45" spans="1:18" ht="33.950000000000003" customHeight="1" x14ac:dyDescent="0.25">
      <c r="A45" s="10">
        <v>44</v>
      </c>
      <c r="B45" s="2" t="s">
        <v>77</v>
      </c>
      <c r="C45" s="2" t="s">
        <v>67</v>
      </c>
      <c r="D45" s="2" t="s">
        <v>68</v>
      </c>
      <c r="E45" s="2" t="s">
        <v>22</v>
      </c>
      <c r="F45" s="10">
        <v>8</v>
      </c>
      <c r="G45" s="2" t="s">
        <v>27</v>
      </c>
      <c r="H45" s="7" t="str">
        <f>HYPERLINK("mapany/outputs/custom_bush_1_scen_4/reconstruction.glb","mapany/outputs/custom_bush_1_scen_4/reconstruction.glb")</f>
        <v>mapany/outputs/custom_bush_1_scen_4/reconstruction.glb</v>
      </c>
      <c r="I45" s="6" t="s">
        <v>78</v>
      </c>
      <c r="J45" s="3" t="s">
        <v>25</v>
      </c>
      <c r="K45" s="3">
        <v>3</v>
      </c>
      <c r="L45" s="3">
        <v>2</v>
      </c>
      <c r="M45" s="3">
        <v>1</v>
      </c>
      <c r="N45" s="3">
        <v>3</v>
      </c>
      <c r="O45" s="4">
        <f t="shared" si="0"/>
        <v>9</v>
      </c>
      <c r="P45" s="3"/>
      <c r="Q45" s="6" t="str">
        <f t="shared" si="1"/>
        <v>OK</v>
      </c>
      <c r="R45" s="6" t="s">
        <v>79</v>
      </c>
    </row>
    <row r="46" spans="1:18" ht="33.950000000000003" customHeight="1" x14ac:dyDescent="0.25">
      <c r="A46" s="10">
        <v>45</v>
      </c>
      <c r="B46" s="2" t="s">
        <v>80</v>
      </c>
      <c r="C46" s="2" t="s">
        <v>67</v>
      </c>
      <c r="D46" s="2" t="s">
        <v>81</v>
      </c>
      <c r="E46" s="2" t="s">
        <v>22</v>
      </c>
      <c r="F46" s="10">
        <v>1</v>
      </c>
      <c r="G46" s="2" t="s">
        <v>23</v>
      </c>
      <c r="H46" s="7" t="str">
        <f>HYPERLINK("vggt/outputs/custom_bush_2_scen_1/reconstruction.glb","vggt/outputs/custom_bush_2_scen_1/reconstruction.glb")</f>
        <v>vggt/outputs/custom_bush_2_scen_1/reconstruction.glb</v>
      </c>
      <c r="I46" s="6" t="s">
        <v>82</v>
      </c>
      <c r="J46" s="3" t="s">
        <v>25</v>
      </c>
      <c r="K46" s="3">
        <v>1</v>
      </c>
      <c r="L46" s="3">
        <v>2</v>
      </c>
      <c r="M46" s="3">
        <v>2</v>
      </c>
      <c r="N46" s="3">
        <v>1</v>
      </c>
      <c r="O46" s="4">
        <f t="shared" si="0"/>
        <v>6</v>
      </c>
      <c r="P46" s="3"/>
      <c r="Q46" s="6" t="str">
        <f t="shared" si="1"/>
        <v>OK</v>
      </c>
      <c r="R46" s="6" t="s">
        <v>83</v>
      </c>
    </row>
    <row r="47" spans="1:18" ht="33.950000000000003" customHeight="1" x14ac:dyDescent="0.25">
      <c r="A47" s="10">
        <v>46</v>
      </c>
      <c r="B47" s="2" t="s">
        <v>80</v>
      </c>
      <c r="C47" s="2" t="s">
        <v>67</v>
      </c>
      <c r="D47" s="2" t="s">
        <v>81</v>
      </c>
      <c r="E47" s="2" t="s">
        <v>22</v>
      </c>
      <c r="F47" s="10">
        <v>1</v>
      </c>
      <c r="G47" s="2" t="s">
        <v>27</v>
      </c>
      <c r="H47" s="7" t="str">
        <f>HYPERLINK("mapany/outputs/custom_bush_2_scen_1/reconstruction.glb","mapany/outputs/custom_bush_2_scen_1/reconstruction.glb")</f>
        <v>mapany/outputs/custom_bush_2_scen_1/reconstruction.glb</v>
      </c>
      <c r="I47" s="6" t="s">
        <v>82</v>
      </c>
      <c r="J47" s="3" t="s">
        <v>25</v>
      </c>
      <c r="K47" s="3">
        <v>1</v>
      </c>
      <c r="L47" s="3">
        <v>1</v>
      </c>
      <c r="M47" s="3">
        <v>1</v>
      </c>
      <c r="N47" s="3">
        <v>1</v>
      </c>
      <c r="O47" s="4">
        <f t="shared" si="0"/>
        <v>4</v>
      </c>
      <c r="P47" s="3"/>
      <c r="Q47" s="6" t="str">
        <f t="shared" si="1"/>
        <v>OK</v>
      </c>
      <c r="R47" s="6" t="s">
        <v>83</v>
      </c>
    </row>
    <row r="48" spans="1:18" ht="33.950000000000003" customHeight="1" x14ac:dyDescent="0.25">
      <c r="A48" s="10">
        <v>47</v>
      </c>
      <c r="B48" s="2" t="s">
        <v>84</v>
      </c>
      <c r="C48" s="2" t="s">
        <v>67</v>
      </c>
      <c r="D48" s="2" t="s">
        <v>81</v>
      </c>
      <c r="E48" s="2" t="s">
        <v>22</v>
      </c>
      <c r="F48" s="10">
        <v>2</v>
      </c>
      <c r="G48" s="2" t="s">
        <v>23</v>
      </c>
      <c r="H48" s="7" t="str">
        <f>HYPERLINK("vggt/outputs/custom_bush_2_scen_2/reconstruction.glb","vggt/outputs/custom_bush_2_scen_2/reconstruction.glb")</f>
        <v>vggt/outputs/custom_bush_2_scen_2/reconstruction.glb</v>
      </c>
      <c r="I48" s="6" t="s">
        <v>85</v>
      </c>
      <c r="J48" s="3" t="s">
        <v>25</v>
      </c>
      <c r="K48" s="3">
        <v>1</v>
      </c>
      <c r="L48" s="3">
        <v>1</v>
      </c>
      <c r="M48" s="3">
        <v>2</v>
      </c>
      <c r="N48" s="3">
        <v>1</v>
      </c>
      <c r="O48" s="4">
        <f t="shared" si="0"/>
        <v>5</v>
      </c>
      <c r="P48" s="3"/>
      <c r="Q48" s="6" t="str">
        <f t="shared" si="1"/>
        <v>OK</v>
      </c>
      <c r="R48" s="6" t="s">
        <v>86</v>
      </c>
    </row>
    <row r="49" spans="1:18" ht="33.950000000000003" customHeight="1" x14ac:dyDescent="0.25">
      <c r="A49" s="10">
        <v>48</v>
      </c>
      <c r="B49" s="2" t="s">
        <v>84</v>
      </c>
      <c r="C49" s="2" t="s">
        <v>67</v>
      </c>
      <c r="D49" s="2" t="s">
        <v>81</v>
      </c>
      <c r="E49" s="2" t="s">
        <v>22</v>
      </c>
      <c r="F49" s="10">
        <v>2</v>
      </c>
      <c r="G49" s="2" t="s">
        <v>31</v>
      </c>
      <c r="H49" s="7" t="str">
        <f>HYPERLINK("mast3r/outputs/custom_bush_2_scen_2/reconstruction.glb","mast3r/outputs/custom_bush_2_scen_2/reconstruction.glb")</f>
        <v>mast3r/outputs/custom_bush_2_scen_2/reconstruction.glb</v>
      </c>
      <c r="I49" s="6" t="s">
        <v>85</v>
      </c>
      <c r="J49" s="3" t="s">
        <v>25</v>
      </c>
      <c r="K49" s="3">
        <v>1</v>
      </c>
      <c r="L49" s="3">
        <v>1</v>
      </c>
      <c r="M49" s="3">
        <v>2</v>
      </c>
      <c r="N49" s="3">
        <v>1</v>
      </c>
      <c r="O49" s="4">
        <f t="shared" si="0"/>
        <v>5</v>
      </c>
      <c r="P49" s="3"/>
      <c r="Q49" s="6" t="str">
        <f t="shared" si="1"/>
        <v>OK</v>
      </c>
      <c r="R49" s="6" t="s">
        <v>86</v>
      </c>
    </row>
    <row r="50" spans="1:18" ht="33.950000000000003" customHeight="1" x14ac:dyDescent="0.25">
      <c r="A50" s="10">
        <v>49</v>
      </c>
      <c r="B50" s="2" t="s">
        <v>84</v>
      </c>
      <c r="C50" s="2" t="s">
        <v>67</v>
      </c>
      <c r="D50" s="2" t="s">
        <v>81</v>
      </c>
      <c r="E50" s="2" t="s">
        <v>22</v>
      </c>
      <c r="F50" s="10">
        <v>2</v>
      </c>
      <c r="G50" s="2" t="s">
        <v>27</v>
      </c>
      <c r="H50" s="7" t="str">
        <f>HYPERLINK("mapany/outputs/custom_bush_2_scen_2/reconstruction.glb","mapany/outputs/custom_bush_2_scen_2/reconstruction.glb")</f>
        <v>mapany/outputs/custom_bush_2_scen_2/reconstruction.glb</v>
      </c>
      <c r="I50" s="6" t="s">
        <v>85</v>
      </c>
      <c r="J50" s="3" t="s">
        <v>25</v>
      </c>
      <c r="K50" s="3">
        <v>2</v>
      </c>
      <c r="L50" s="3">
        <v>1</v>
      </c>
      <c r="M50" s="3">
        <v>1</v>
      </c>
      <c r="N50" s="3">
        <v>1</v>
      </c>
      <c r="O50" s="4">
        <f t="shared" si="0"/>
        <v>5</v>
      </c>
      <c r="P50" s="3"/>
      <c r="Q50" s="6" t="str">
        <f t="shared" si="1"/>
        <v>OK</v>
      </c>
      <c r="R50" s="6" t="s">
        <v>86</v>
      </c>
    </row>
    <row r="51" spans="1:18" ht="33.950000000000003" customHeight="1" x14ac:dyDescent="0.25">
      <c r="A51" s="10">
        <v>50</v>
      </c>
      <c r="B51" s="2" t="s">
        <v>87</v>
      </c>
      <c r="C51" s="2" t="s">
        <v>67</v>
      </c>
      <c r="D51" s="2" t="s">
        <v>81</v>
      </c>
      <c r="E51" s="2" t="s">
        <v>22</v>
      </c>
      <c r="F51" s="10">
        <v>4</v>
      </c>
      <c r="G51" s="2" t="s">
        <v>23</v>
      </c>
      <c r="H51" s="7" t="str">
        <f>HYPERLINK("vggt/outputs/custom_bush_2_scen_3/reconstruction.glb","vggt/outputs/custom_bush_2_scen_3/reconstruction.glb")</f>
        <v>vggt/outputs/custom_bush_2_scen_3/reconstruction.glb</v>
      </c>
      <c r="I51" s="6" t="s">
        <v>88</v>
      </c>
      <c r="J51" s="3" t="s">
        <v>25</v>
      </c>
      <c r="K51" s="3">
        <v>1</v>
      </c>
      <c r="L51" s="3">
        <v>1</v>
      </c>
      <c r="M51" s="3">
        <v>2</v>
      </c>
      <c r="N51" s="3">
        <v>1</v>
      </c>
      <c r="O51" s="4">
        <f t="shared" si="0"/>
        <v>5</v>
      </c>
      <c r="P51" s="3"/>
      <c r="Q51" s="6" t="str">
        <f t="shared" si="1"/>
        <v>OK</v>
      </c>
      <c r="R51" s="6" t="s">
        <v>89</v>
      </c>
    </row>
    <row r="52" spans="1:18" ht="33.950000000000003" customHeight="1" x14ac:dyDescent="0.25">
      <c r="A52" s="10">
        <v>51</v>
      </c>
      <c r="B52" s="2" t="s">
        <v>87</v>
      </c>
      <c r="C52" s="2" t="s">
        <v>67</v>
      </c>
      <c r="D52" s="2" t="s">
        <v>81</v>
      </c>
      <c r="E52" s="2" t="s">
        <v>22</v>
      </c>
      <c r="F52" s="10">
        <v>4</v>
      </c>
      <c r="G52" s="2" t="s">
        <v>31</v>
      </c>
      <c r="H52" s="7" t="str">
        <f>HYPERLINK("mast3r/outputs/custom_bush_2_scen_3/reconstruction.glb","mast3r/outputs/custom_bush_2_scen_3/reconstruction.glb")</f>
        <v>mast3r/outputs/custom_bush_2_scen_3/reconstruction.glb</v>
      </c>
      <c r="I52" s="6" t="s">
        <v>88</v>
      </c>
      <c r="J52" s="3" t="s">
        <v>25</v>
      </c>
      <c r="K52" s="3">
        <v>1</v>
      </c>
      <c r="L52" s="3">
        <v>1</v>
      </c>
      <c r="M52" s="3">
        <v>2</v>
      </c>
      <c r="N52" s="3">
        <v>1</v>
      </c>
      <c r="O52" s="4">
        <f t="shared" si="0"/>
        <v>5</v>
      </c>
      <c r="P52" s="3"/>
      <c r="Q52" s="6" t="str">
        <f t="shared" si="1"/>
        <v>OK</v>
      </c>
      <c r="R52" s="6" t="s">
        <v>89</v>
      </c>
    </row>
    <row r="53" spans="1:18" ht="33.950000000000003" customHeight="1" x14ac:dyDescent="0.25">
      <c r="A53" s="10">
        <v>52</v>
      </c>
      <c r="B53" s="2" t="s">
        <v>87</v>
      </c>
      <c r="C53" s="2" t="s">
        <v>67</v>
      </c>
      <c r="D53" s="2" t="s">
        <v>81</v>
      </c>
      <c r="E53" s="2" t="s">
        <v>22</v>
      </c>
      <c r="F53" s="10">
        <v>4</v>
      </c>
      <c r="G53" s="2" t="s">
        <v>27</v>
      </c>
      <c r="H53" s="7" t="str">
        <f>HYPERLINK("mapany/outputs/custom_bush_2_scen_3/reconstruction.glb","mapany/outputs/custom_bush_2_scen_3/reconstruction.glb")</f>
        <v>mapany/outputs/custom_bush_2_scen_3/reconstruction.glb</v>
      </c>
      <c r="I53" s="6" t="s">
        <v>88</v>
      </c>
      <c r="J53" s="3" t="s">
        <v>25</v>
      </c>
      <c r="K53" s="3">
        <v>2</v>
      </c>
      <c r="L53" s="3">
        <v>2</v>
      </c>
      <c r="M53" s="3">
        <v>1</v>
      </c>
      <c r="N53" s="3">
        <v>1</v>
      </c>
      <c r="O53" s="4">
        <f t="shared" si="0"/>
        <v>6</v>
      </c>
      <c r="P53" s="3"/>
      <c r="Q53" s="6" t="str">
        <f t="shared" si="1"/>
        <v>OK</v>
      </c>
      <c r="R53" s="6" t="s">
        <v>89</v>
      </c>
    </row>
    <row r="54" spans="1:18" ht="33.950000000000003" customHeight="1" x14ac:dyDescent="0.25">
      <c r="A54" s="10">
        <v>53</v>
      </c>
      <c r="B54" s="2" t="s">
        <v>90</v>
      </c>
      <c r="C54" s="2" t="s">
        <v>67</v>
      </c>
      <c r="D54" s="2" t="s">
        <v>81</v>
      </c>
      <c r="E54" s="2" t="s">
        <v>22</v>
      </c>
      <c r="F54" s="10">
        <v>8</v>
      </c>
      <c r="G54" s="2" t="s">
        <v>23</v>
      </c>
      <c r="H54" s="7" t="str">
        <f>HYPERLINK("vggt/outputs/custom_bush_2_scen_4/reconstruction.glb","vggt/outputs/custom_bush_2_scen_4/reconstruction.glb")</f>
        <v>vggt/outputs/custom_bush_2_scen_4/reconstruction.glb</v>
      </c>
      <c r="I54" s="6" t="s">
        <v>91</v>
      </c>
      <c r="J54" s="3" t="s">
        <v>25</v>
      </c>
      <c r="K54" s="3">
        <v>1</v>
      </c>
      <c r="L54" s="3">
        <v>2</v>
      </c>
      <c r="M54" s="3">
        <v>2</v>
      </c>
      <c r="N54" s="3">
        <v>1</v>
      </c>
      <c r="O54" s="4">
        <f t="shared" si="0"/>
        <v>6</v>
      </c>
      <c r="P54" s="3"/>
      <c r="Q54" s="6" t="str">
        <f t="shared" si="1"/>
        <v>OK</v>
      </c>
      <c r="R54" s="6" t="s">
        <v>92</v>
      </c>
    </row>
    <row r="55" spans="1:18" ht="33.950000000000003" customHeight="1" x14ac:dyDescent="0.25">
      <c r="A55" s="10">
        <v>54</v>
      </c>
      <c r="B55" s="2" t="s">
        <v>90</v>
      </c>
      <c r="C55" s="2" t="s">
        <v>67</v>
      </c>
      <c r="D55" s="2" t="s">
        <v>81</v>
      </c>
      <c r="E55" s="2" t="s">
        <v>22</v>
      </c>
      <c r="F55" s="10">
        <v>8</v>
      </c>
      <c r="G55" s="2" t="s">
        <v>31</v>
      </c>
      <c r="H55" s="7" t="str">
        <f>HYPERLINK("mast3r/outputs/custom_bush_2_scen_4/reconstruction.glb","mast3r/outputs/custom_bush_2_scen_4/reconstruction.glb")</f>
        <v>mast3r/outputs/custom_bush_2_scen_4/reconstruction.glb</v>
      </c>
      <c r="I55" s="6" t="s">
        <v>91</v>
      </c>
      <c r="J55" s="3" t="s">
        <v>25</v>
      </c>
      <c r="K55" s="3">
        <v>0</v>
      </c>
      <c r="L55" s="3">
        <v>1</v>
      </c>
      <c r="M55" s="3">
        <v>1</v>
      </c>
      <c r="N55" s="3">
        <v>1</v>
      </c>
      <c r="O55" s="4">
        <f t="shared" si="0"/>
        <v>3</v>
      </c>
      <c r="P55" s="3"/>
      <c r="Q55" s="6" t="str">
        <f t="shared" si="1"/>
        <v>OK</v>
      </c>
      <c r="R55" s="6" t="s">
        <v>92</v>
      </c>
    </row>
    <row r="56" spans="1:18" ht="33.950000000000003" customHeight="1" x14ac:dyDescent="0.25">
      <c r="A56" s="10">
        <v>55</v>
      </c>
      <c r="B56" s="2" t="s">
        <v>90</v>
      </c>
      <c r="C56" s="2" t="s">
        <v>67</v>
      </c>
      <c r="D56" s="2" t="s">
        <v>81</v>
      </c>
      <c r="E56" s="2" t="s">
        <v>22</v>
      </c>
      <c r="F56" s="10">
        <v>8</v>
      </c>
      <c r="G56" s="2" t="s">
        <v>27</v>
      </c>
      <c r="H56" s="7" t="str">
        <f>HYPERLINK("mapany/outputs/custom_bush_2_scen_4/reconstruction.glb","mapany/outputs/custom_bush_2_scen_4/reconstruction.glb")</f>
        <v>mapany/outputs/custom_bush_2_scen_4/reconstruction.glb</v>
      </c>
      <c r="I56" s="6" t="s">
        <v>91</v>
      </c>
      <c r="J56" s="3" t="s">
        <v>25</v>
      </c>
      <c r="K56" s="3">
        <v>2</v>
      </c>
      <c r="L56" s="3">
        <v>2</v>
      </c>
      <c r="M56" s="3">
        <v>1</v>
      </c>
      <c r="N56" s="3">
        <v>2</v>
      </c>
      <c r="O56" s="4">
        <f t="shared" si="0"/>
        <v>7</v>
      </c>
      <c r="P56" s="3"/>
      <c r="Q56" s="6" t="str">
        <f t="shared" si="1"/>
        <v>OK</v>
      </c>
      <c r="R56" s="6" t="s">
        <v>92</v>
      </c>
    </row>
    <row r="57" spans="1:18" ht="33.950000000000003" customHeight="1" x14ac:dyDescent="0.25">
      <c r="A57" s="10">
        <v>56</v>
      </c>
      <c r="B57" s="2" t="s">
        <v>93</v>
      </c>
      <c r="C57" s="2" t="s">
        <v>67</v>
      </c>
      <c r="D57" s="2" t="s">
        <v>94</v>
      </c>
      <c r="E57" s="2" t="s">
        <v>54</v>
      </c>
      <c r="F57" s="10">
        <v>1</v>
      </c>
      <c r="G57" s="2" t="s">
        <v>23</v>
      </c>
      <c r="H57" s="7" t="str">
        <f>HYPERLINK("vggt/outputs/custom_cafe_scen_1/reconstruction.glb","vggt/outputs/custom_cafe_scen_1/reconstruction.glb")</f>
        <v>vggt/outputs/custom_cafe_scen_1/reconstruction.glb</v>
      </c>
      <c r="I57" s="6" t="s">
        <v>95</v>
      </c>
      <c r="J57" s="3" t="s">
        <v>25</v>
      </c>
      <c r="K57" s="3">
        <v>1</v>
      </c>
      <c r="L57" s="3">
        <v>2</v>
      </c>
      <c r="M57" s="3">
        <v>3</v>
      </c>
      <c r="N57" s="3">
        <v>2</v>
      </c>
      <c r="O57" s="4">
        <f t="shared" si="0"/>
        <v>8</v>
      </c>
      <c r="P57" s="3"/>
      <c r="Q57" s="6" t="str">
        <f t="shared" si="1"/>
        <v>OK</v>
      </c>
      <c r="R57" s="6" t="s">
        <v>96</v>
      </c>
    </row>
    <row r="58" spans="1:18" ht="33.950000000000003" customHeight="1" x14ac:dyDescent="0.25">
      <c r="A58" s="10">
        <v>57</v>
      </c>
      <c r="B58" s="2" t="s">
        <v>93</v>
      </c>
      <c r="C58" s="2" t="s">
        <v>67</v>
      </c>
      <c r="D58" s="2" t="s">
        <v>94</v>
      </c>
      <c r="E58" s="2" t="s">
        <v>54</v>
      </c>
      <c r="F58" s="10">
        <v>1</v>
      </c>
      <c r="G58" s="2" t="s">
        <v>27</v>
      </c>
      <c r="H58" s="7" t="str">
        <f>HYPERLINK("mapany/outputs/custom_cafe_scen_1/reconstruction.glb","mapany/outputs/custom_cafe_scen_1/reconstruction.glb")</f>
        <v>mapany/outputs/custom_cafe_scen_1/reconstruction.glb</v>
      </c>
      <c r="I58" s="6" t="s">
        <v>95</v>
      </c>
      <c r="J58" s="3" t="s">
        <v>25</v>
      </c>
      <c r="K58" s="3">
        <v>3</v>
      </c>
      <c r="L58" s="3">
        <v>3</v>
      </c>
      <c r="M58" s="3">
        <v>3</v>
      </c>
      <c r="N58" s="3">
        <v>3</v>
      </c>
      <c r="O58" s="4">
        <f t="shared" si="0"/>
        <v>12</v>
      </c>
      <c r="P58" s="3"/>
      <c r="Q58" s="6" t="str">
        <f t="shared" si="1"/>
        <v>OK</v>
      </c>
      <c r="R58" s="6" t="s">
        <v>96</v>
      </c>
    </row>
    <row r="59" spans="1:18" ht="33.950000000000003" customHeight="1" x14ac:dyDescent="0.25">
      <c r="A59" s="10">
        <v>58</v>
      </c>
      <c r="B59" s="2" t="s">
        <v>97</v>
      </c>
      <c r="C59" s="2" t="s">
        <v>67</v>
      </c>
      <c r="D59" s="2" t="s">
        <v>94</v>
      </c>
      <c r="E59" s="2" t="s">
        <v>54</v>
      </c>
      <c r="F59" s="10">
        <v>2</v>
      </c>
      <c r="G59" s="2" t="s">
        <v>23</v>
      </c>
      <c r="H59" s="7" t="str">
        <f>HYPERLINK("vggt/outputs/custom_cafe_scen_2/reconstruction.glb","vggt/outputs/custom_cafe_scen_2/reconstruction.glb")</f>
        <v>vggt/outputs/custom_cafe_scen_2/reconstruction.glb</v>
      </c>
      <c r="I59" s="6" t="s">
        <v>98</v>
      </c>
      <c r="J59" s="3" t="s">
        <v>25</v>
      </c>
      <c r="K59" s="3">
        <v>1</v>
      </c>
      <c r="L59" s="3">
        <v>2</v>
      </c>
      <c r="M59" s="3">
        <v>3</v>
      </c>
      <c r="N59" s="3">
        <v>1</v>
      </c>
      <c r="O59" s="4">
        <f t="shared" si="0"/>
        <v>7</v>
      </c>
      <c r="P59" s="3"/>
      <c r="Q59" s="6" t="str">
        <f t="shared" si="1"/>
        <v>OK</v>
      </c>
      <c r="R59" s="6" t="s">
        <v>99</v>
      </c>
    </row>
    <row r="60" spans="1:18" ht="33.950000000000003" customHeight="1" x14ac:dyDescent="0.25">
      <c r="A60" s="10">
        <v>59</v>
      </c>
      <c r="B60" s="2" t="s">
        <v>97</v>
      </c>
      <c r="C60" s="2" t="s">
        <v>67</v>
      </c>
      <c r="D60" s="2" t="s">
        <v>94</v>
      </c>
      <c r="E60" s="2" t="s">
        <v>54</v>
      </c>
      <c r="F60" s="10">
        <v>2</v>
      </c>
      <c r="G60" s="2" t="s">
        <v>31</v>
      </c>
      <c r="H60" s="7" t="str">
        <f>HYPERLINK("mast3r/outputs/custom_cafe_scen_2/reconstruction.glb","mast3r/outputs/custom_cafe_scen_2/reconstruction.glb")</f>
        <v>mast3r/outputs/custom_cafe_scen_2/reconstruction.glb</v>
      </c>
      <c r="I60" s="6" t="s">
        <v>98</v>
      </c>
      <c r="J60" s="3" t="s">
        <v>25</v>
      </c>
      <c r="K60" s="3">
        <v>2</v>
      </c>
      <c r="L60" s="3">
        <v>1</v>
      </c>
      <c r="M60" s="3">
        <v>1</v>
      </c>
      <c r="N60" s="3">
        <v>1</v>
      </c>
      <c r="O60" s="4">
        <f t="shared" si="0"/>
        <v>5</v>
      </c>
      <c r="P60" s="3"/>
      <c r="Q60" s="6" t="str">
        <f t="shared" si="1"/>
        <v>OK</v>
      </c>
      <c r="R60" s="6" t="s">
        <v>99</v>
      </c>
    </row>
    <row r="61" spans="1:18" ht="33.950000000000003" customHeight="1" x14ac:dyDescent="0.25">
      <c r="A61" s="10">
        <v>60</v>
      </c>
      <c r="B61" s="2" t="s">
        <v>97</v>
      </c>
      <c r="C61" s="2" t="s">
        <v>67</v>
      </c>
      <c r="D61" s="2" t="s">
        <v>94</v>
      </c>
      <c r="E61" s="2" t="s">
        <v>54</v>
      </c>
      <c r="F61" s="10">
        <v>2</v>
      </c>
      <c r="G61" s="2" t="s">
        <v>27</v>
      </c>
      <c r="H61" s="7" t="str">
        <f>HYPERLINK("mapany/outputs/custom_cafe_scen_2/reconstruction.glb","mapany/outputs/custom_cafe_scen_2/reconstruction.glb")</f>
        <v>mapany/outputs/custom_cafe_scen_2/reconstruction.glb</v>
      </c>
      <c r="I61" s="6" t="s">
        <v>98</v>
      </c>
      <c r="J61" s="3" t="s">
        <v>25</v>
      </c>
      <c r="K61" s="3">
        <v>3</v>
      </c>
      <c r="L61" s="3">
        <v>2</v>
      </c>
      <c r="M61" s="3">
        <v>2</v>
      </c>
      <c r="N61" s="3">
        <v>3</v>
      </c>
      <c r="O61" s="4">
        <f t="shared" si="0"/>
        <v>10</v>
      </c>
      <c r="P61" s="3"/>
      <c r="Q61" s="6" t="str">
        <f t="shared" si="1"/>
        <v>OK</v>
      </c>
      <c r="R61" s="6" t="s">
        <v>99</v>
      </c>
    </row>
    <row r="62" spans="1:18" ht="33.950000000000003" customHeight="1" x14ac:dyDescent="0.25">
      <c r="A62" s="10">
        <v>61</v>
      </c>
      <c r="B62" s="2" t="s">
        <v>100</v>
      </c>
      <c r="C62" s="2" t="s">
        <v>67</v>
      </c>
      <c r="D62" s="2" t="s">
        <v>94</v>
      </c>
      <c r="E62" s="2" t="s">
        <v>54</v>
      </c>
      <c r="F62" s="10">
        <v>4</v>
      </c>
      <c r="G62" s="2" t="s">
        <v>23</v>
      </c>
      <c r="H62" s="7" t="str">
        <f>HYPERLINK("vggt/outputs/custom_cafe_scen_3/reconstruction.glb","vggt/outputs/custom_cafe_scen_3/reconstruction.glb")</f>
        <v>vggt/outputs/custom_cafe_scen_3/reconstruction.glb</v>
      </c>
      <c r="I62" s="6" t="s">
        <v>101</v>
      </c>
      <c r="J62" s="3" t="s">
        <v>25</v>
      </c>
      <c r="K62" s="3">
        <v>1</v>
      </c>
      <c r="L62" s="3">
        <v>2</v>
      </c>
      <c r="M62" s="3">
        <v>2</v>
      </c>
      <c r="N62" s="3">
        <v>2</v>
      </c>
      <c r="O62" s="4">
        <f t="shared" si="0"/>
        <v>7</v>
      </c>
      <c r="P62" s="3"/>
      <c r="Q62" s="6" t="str">
        <f t="shared" si="1"/>
        <v>OK</v>
      </c>
      <c r="R62" s="6" t="s">
        <v>102</v>
      </c>
    </row>
    <row r="63" spans="1:18" ht="33.950000000000003" customHeight="1" x14ac:dyDescent="0.25">
      <c r="A63" s="10">
        <v>62</v>
      </c>
      <c r="B63" s="2" t="s">
        <v>100</v>
      </c>
      <c r="C63" s="2" t="s">
        <v>67</v>
      </c>
      <c r="D63" s="2" t="s">
        <v>94</v>
      </c>
      <c r="E63" s="2" t="s">
        <v>54</v>
      </c>
      <c r="F63" s="10">
        <v>4</v>
      </c>
      <c r="G63" s="2" t="s">
        <v>31</v>
      </c>
      <c r="H63" s="7" t="str">
        <f>HYPERLINK("mast3r/outputs/custom_cafe_scen_3/reconstruction.glb","mast3r/outputs/custom_cafe_scen_3/reconstruction.glb")</f>
        <v>mast3r/outputs/custom_cafe_scen_3/reconstruction.glb</v>
      </c>
      <c r="I63" s="6" t="s">
        <v>101</v>
      </c>
      <c r="J63" s="3" t="s">
        <v>25</v>
      </c>
      <c r="K63" s="3">
        <v>2</v>
      </c>
      <c r="L63" s="3">
        <v>1</v>
      </c>
      <c r="M63" s="3">
        <v>1</v>
      </c>
      <c r="N63" s="3">
        <v>2</v>
      </c>
      <c r="O63" s="4">
        <f t="shared" si="0"/>
        <v>6</v>
      </c>
      <c r="P63" s="3"/>
      <c r="Q63" s="6" t="str">
        <f t="shared" si="1"/>
        <v>OK</v>
      </c>
      <c r="R63" s="6" t="s">
        <v>102</v>
      </c>
    </row>
    <row r="64" spans="1:18" ht="33.950000000000003" customHeight="1" x14ac:dyDescent="0.25">
      <c r="A64" s="10">
        <v>63</v>
      </c>
      <c r="B64" s="2" t="s">
        <v>100</v>
      </c>
      <c r="C64" s="2" t="s">
        <v>67</v>
      </c>
      <c r="D64" s="2" t="s">
        <v>94</v>
      </c>
      <c r="E64" s="2" t="s">
        <v>54</v>
      </c>
      <c r="F64" s="10">
        <v>4</v>
      </c>
      <c r="G64" s="2" t="s">
        <v>27</v>
      </c>
      <c r="H64" s="7" t="str">
        <f>HYPERLINK("mapany/outputs/custom_cafe_scen_3/reconstruction.glb","mapany/outputs/custom_cafe_scen_3/reconstruction.glb")</f>
        <v>mapany/outputs/custom_cafe_scen_3/reconstruction.glb</v>
      </c>
      <c r="I64" s="6" t="s">
        <v>101</v>
      </c>
      <c r="J64" s="3" t="s">
        <v>25</v>
      </c>
      <c r="K64" s="3">
        <v>3</v>
      </c>
      <c r="L64" s="3">
        <v>2</v>
      </c>
      <c r="M64" s="3">
        <v>2</v>
      </c>
      <c r="N64" s="3">
        <v>3</v>
      </c>
      <c r="O64" s="4">
        <f t="shared" si="0"/>
        <v>10</v>
      </c>
      <c r="P64" s="3"/>
      <c r="Q64" s="6" t="str">
        <f t="shared" si="1"/>
        <v>OK</v>
      </c>
      <c r="R64" s="6" t="s">
        <v>102</v>
      </c>
    </row>
    <row r="65" spans="1:18" ht="33.950000000000003" customHeight="1" x14ac:dyDescent="0.25">
      <c r="A65" s="10">
        <v>64</v>
      </c>
      <c r="B65" s="2" t="s">
        <v>103</v>
      </c>
      <c r="C65" s="2" t="s">
        <v>67</v>
      </c>
      <c r="D65" s="2" t="s">
        <v>94</v>
      </c>
      <c r="E65" s="2" t="s">
        <v>54</v>
      </c>
      <c r="F65" s="10">
        <v>8</v>
      </c>
      <c r="G65" s="2" t="s">
        <v>23</v>
      </c>
      <c r="H65" s="7" t="str">
        <f>HYPERLINK("vggt/outputs/custom_cafe_scen_4/reconstruction.glb","vggt/outputs/custom_cafe_scen_4/reconstruction.glb")</f>
        <v>vggt/outputs/custom_cafe_scen_4/reconstruction.glb</v>
      </c>
      <c r="I65" s="6" t="s">
        <v>104</v>
      </c>
      <c r="J65" s="3" t="s">
        <v>25</v>
      </c>
      <c r="K65" s="3">
        <v>2</v>
      </c>
      <c r="L65" s="3">
        <v>2</v>
      </c>
      <c r="M65" s="3">
        <v>2</v>
      </c>
      <c r="N65" s="3">
        <v>2</v>
      </c>
      <c r="O65" s="4">
        <f t="shared" si="0"/>
        <v>8</v>
      </c>
      <c r="P65" s="3"/>
      <c r="Q65" s="6" t="str">
        <f t="shared" si="1"/>
        <v>OK</v>
      </c>
      <c r="R65" s="6" t="s">
        <v>105</v>
      </c>
    </row>
    <row r="66" spans="1:18" ht="33.950000000000003" customHeight="1" x14ac:dyDescent="0.25">
      <c r="A66" s="10">
        <v>65</v>
      </c>
      <c r="B66" s="2" t="s">
        <v>103</v>
      </c>
      <c r="C66" s="2" t="s">
        <v>67</v>
      </c>
      <c r="D66" s="2" t="s">
        <v>94</v>
      </c>
      <c r="E66" s="2" t="s">
        <v>54</v>
      </c>
      <c r="F66" s="10">
        <v>8</v>
      </c>
      <c r="G66" s="2" t="s">
        <v>31</v>
      </c>
      <c r="H66" s="7" t="str">
        <f>HYPERLINK("mast3r/outputs/custom_cafe_scen_4/reconstruction.glb","mast3r/outputs/custom_cafe_scen_4/reconstruction.glb")</f>
        <v>mast3r/outputs/custom_cafe_scen_4/reconstruction.glb</v>
      </c>
      <c r="I66" s="6" t="s">
        <v>104</v>
      </c>
      <c r="J66" s="3" t="s">
        <v>25</v>
      </c>
      <c r="K66" s="3">
        <v>2</v>
      </c>
      <c r="L66" s="3">
        <v>2</v>
      </c>
      <c r="M66" s="3">
        <v>1</v>
      </c>
      <c r="N66" s="3">
        <v>2</v>
      </c>
      <c r="O66" s="4">
        <f t="shared" ref="O66:O129" si="2">IF($J66="Niepowodzenie rekonstrukcji",0,IF(COUNT($K66:$N66)=4,SUM($K66:$N66),""))</f>
        <v>7</v>
      </c>
      <c r="P66" s="3"/>
      <c r="Q66" s="6" t="str">
        <f t="shared" ref="Q66:Q129" si="3">IF($J66="Niepowodzenie rekonstrukcji",IF(COUNTIF($K66:$N66,0)=4,"OK","Ustaw C, G, A, D = 0"),IF(COUNT($K66:$N66)=0,"Nieoceniony",IF(COUNT($K66:$N66)=4,"OK","Uzupełnij oceny")))</f>
        <v>OK</v>
      </c>
      <c r="R66" s="6" t="s">
        <v>105</v>
      </c>
    </row>
    <row r="67" spans="1:18" ht="33.950000000000003" customHeight="1" x14ac:dyDescent="0.25">
      <c r="A67" s="10">
        <v>66</v>
      </c>
      <c r="B67" s="2" t="s">
        <v>103</v>
      </c>
      <c r="C67" s="2" t="s">
        <v>67</v>
      </c>
      <c r="D67" s="2" t="s">
        <v>94</v>
      </c>
      <c r="E67" s="2" t="s">
        <v>54</v>
      </c>
      <c r="F67" s="10">
        <v>8</v>
      </c>
      <c r="G67" s="2" t="s">
        <v>27</v>
      </c>
      <c r="H67" s="7" t="str">
        <f>HYPERLINK("mapany/outputs/custom_cafe_scen_4/reconstruction.glb","mapany/outputs/custom_cafe_scen_4/reconstruction.glb")</f>
        <v>mapany/outputs/custom_cafe_scen_4/reconstruction.glb</v>
      </c>
      <c r="I67" s="6" t="s">
        <v>104</v>
      </c>
      <c r="J67" s="3" t="s">
        <v>25</v>
      </c>
      <c r="K67" s="3">
        <v>2</v>
      </c>
      <c r="L67" s="3">
        <v>2</v>
      </c>
      <c r="M67" s="3">
        <v>2</v>
      </c>
      <c r="N67" s="3">
        <v>3</v>
      </c>
      <c r="O67" s="4">
        <f t="shared" si="2"/>
        <v>9</v>
      </c>
      <c r="P67" s="3"/>
      <c r="Q67" s="6" t="str">
        <f t="shared" si="3"/>
        <v>OK</v>
      </c>
      <c r="R67" s="6" t="s">
        <v>105</v>
      </c>
    </row>
    <row r="68" spans="1:18" ht="33.950000000000003" customHeight="1" x14ac:dyDescent="0.25">
      <c r="A68" s="10">
        <v>67</v>
      </c>
      <c r="B68" s="2" t="s">
        <v>106</v>
      </c>
      <c r="C68" s="2" t="s">
        <v>67</v>
      </c>
      <c r="D68" s="2" t="s">
        <v>107</v>
      </c>
      <c r="E68" s="2" t="s">
        <v>54</v>
      </c>
      <c r="F68" s="10">
        <v>1</v>
      </c>
      <c r="G68" s="2" t="s">
        <v>23</v>
      </c>
      <c r="H68" s="7" t="str">
        <f>HYPERLINK("vggt/outputs/custom_church_scen_1/reconstruction.glb","vggt/outputs/custom_church_scen_1/reconstruction.glb")</f>
        <v>vggt/outputs/custom_church_scen_1/reconstruction.glb</v>
      </c>
      <c r="I68" s="6" t="s">
        <v>108</v>
      </c>
      <c r="J68" s="3" t="s">
        <v>25</v>
      </c>
      <c r="K68" s="3">
        <v>2</v>
      </c>
      <c r="L68" s="3">
        <v>2</v>
      </c>
      <c r="M68" s="3">
        <v>3</v>
      </c>
      <c r="N68" s="3">
        <v>3</v>
      </c>
      <c r="O68" s="4">
        <f t="shared" si="2"/>
        <v>10</v>
      </c>
      <c r="P68" s="3"/>
      <c r="Q68" s="6" t="str">
        <f t="shared" si="3"/>
        <v>OK</v>
      </c>
      <c r="R68" s="6" t="s">
        <v>109</v>
      </c>
    </row>
    <row r="69" spans="1:18" ht="33.950000000000003" customHeight="1" x14ac:dyDescent="0.25">
      <c r="A69" s="10">
        <v>68</v>
      </c>
      <c r="B69" s="2" t="s">
        <v>106</v>
      </c>
      <c r="C69" s="2" t="s">
        <v>67</v>
      </c>
      <c r="D69" s="2" t="s">
        <v>107</v>
      </c>
      <c r="E69" s="2" t="s">
        <v>54</v>
      </c>
      <c r="F69" s="10">
        <v>1</v>
      </c>
      <c r="G69" s="2" t="s">
        <v>27</v>
      </c>
      <c r="H69" s="7" t="str">
        <f>HYPERLINK("mapany/outputs/custom_church_scen_1/reconstruction.glb","mapany/outputs/custom_church_scen_1/reconstruction.glb")</f>
        <v>mapany/outputs/custom_church_scen_1/reconstruction.glb</v>
      </c>
      <c r="I69" s="6" t="s">
        <v>108</v>
      </c>
      <c r="J69" s="3" t="s">
        <v>25</v>
      </c>
      <c r="K69" s="3">
        <v>3</v>
      </c>
      <c r="L69" s="3">
        <v>2</v>
      </c>
      <c r="M69" s="3">
        <v>3</v>
      </c>
      <c r="N69" s="3">
        <v>3</v>
      </c>
      <c r="O69" s="4">
        <f t="shared" si="2"/>
        <v>11</v>
      </c>
      <c r="P69" s="3"/>
      <c r="Q69" s="6" t="str">
        <f t="shared" si="3"/>
        <v>OK</v>
      </c>
      <c r="R69" s="6" t="s">
        <v>109</v>
      </c>
    </row>
    <row r="70" spans="1:18" ht="33.950000000000003" customHeight="1" x14ac:dyDescent="0.25">
      <c r="A70" s="10">
        <v>69</v>
      </c>
      <c r="B70" s="2" t="s">
        <v>110</v>
      </c>
      <c r="C70" s="2" t="s">
        <v>67</v>
      </c>
      <c r="D70" s="2" t="s">
        <v>107</v>
      </c>
      <c r="E70" s="2" t="s">
        <v>54</v>
      </c>
      <c r="F70" s="10">
        <v>2</v>
      </c>
      <c r="G70" s="2" t="s">
        <v>23</v>
      </c>
      <c r="H70" s="7" t="str">
        <f>HYPERLINK("vggt/outputs/custom_church_scen_2/reconstruction.glb","vggt/outputs/custom_church_scen_2/reconstruction.glb")</f>
        <v>vggt/outputs/custom_church_scen_2/reconstruction.glb</v>
      </c>
      <c r="I70" s="6" t="s">
        <v>111</v>
      </c>
      <c r="J70" s="3" t="s">
        <v>25</v>
      </c>
      <c r="K70" s="3">
        <v>2</v>
      </c>
      <c r="L70" s="3">
        <v>2</v>
      </c>
      <c r="M70" s="3">
        <v>3</v>
      </c>
      <c r="N70" s="3">
        <v>3</v>
      </c>
      <c r="O70" s="4">
        <f t="shared" si="2"/>
        <v>10</v>
      </c>
      <c r="P70" s="3"/>
      <c r="Q70" s="6" t="str">
        <f t="shared" si="3"/>
        <v>OK</v>
      </c>
      <c r="R70" s="6" t="s">
        <v>112</v>
      </c>
    </row>
    <row r="71" spans="1:18" ht="33.950000000000003" customHeight="1" x14ac:dyDescent="0.25">
      <c r="A71" s="10">
        <v>70</v>
      </c>
      <c r="B71" s="2" t="s">
        <v>110</v>
      </c>
      <c r="C71" s="2" t="s">
        <v>67</v>
      </c>
      <c r="D71" s="2" t="s">
        <v>107</v>
      </c>
      <c r="E71" s="2" t="s">
        <v>54</v>
      </c>
      <c r="F71" s="10">
        <v>2</v>
      </c>
      <c r="G71" s="2" t="s">
        <v>31</v>
      </c>
      <c r="H71" s="7" t="str">
        <f>HYPERLINK("mast3r/outputs/custom_church_scen_2/reconstruction.glb","mast3r/outputs/custom_church_scen_2/reconstruction.glb")</f>
        <v>mast3r/outputs/custom_church_scen_2/reconstruction.glb</v>
      </c>
      <c r="I71" s="6" t="s">
        <v>111</v>
      </c>
      <c r="J71" s="3" t="s">
        <v>25</v>
      </c>
      <c r="K71" s="3">
        <v>2</v>
      </c>
      <c r="L71" s="3">
        <v>1</v>
      </c>
      <c r="M71" s="3">
        <v>2</v>
      </c>
      <c r="N71" s="3">
        <v>2</v>
      </c>
      <c r="O71" s="4">
        <f t="shared" si="2"/>
        <v>7</v>
      </c>
      <c r="P71" s="3"/>
      <c r="Q71" s="6" t="str">
        <f t="shared" si="3"/>
        <v>OK</v>
      </c>
      <c r="R71" s="6" t="s">
        <v>112</v>
      </c>
    </row>
    <row r="72" spans="1:18" ht="33.950000000000003" customHeight="1" x14ac:dyDescent="0.25">
      <c r="A72" s="10">
        <v>71</v>
      </c>
      <c r="B72" s="2" t="s">
        <v>110</v>
      </c>
      <c r="C72" s="2" t="s">
        <v>67</v>
      </c>
      <c r="D72" s="2" t="s">
        <v>107</v>
      </c>
      <c r="E72" s="2" t="s">
        <v>54</v>
      </c>
      <c r="F72" s="10">
        <v>2</v>
      </c>
      <c r="G72" s="2" t="s">
        <v>27</v>
      </c>
      <c r="H72" s="7" t="str">
        <f>HYPERLINK("mapany/outputs/custom_church_scen_2/reconstruction.glb","mapany/outputs/custom_church_scen_2/reconstruction.glb")</f>
        <v>mapany/outputs/custom_church_scen_2/reconstruction.glb</v>
      </c>
      <c r="I72" s="6" t="s">
        <v>111</v>
      </c>
      <c r="J72" s="3" t="s">
        <v>25</v>
      </c>
      <c r="K72" s="3">
        <v>3</v>
      </c>
      <c r="L72" s="3">
        <v>2</v>
      </c>
      <c r="M72" s="3">
        <v>3</v>
      </c>
      <c r="N72" s="3">
        <v>3</v>
      </c>
      <c r="O72" s="4">
        <f t="shared" si="2"/>
        <v>11</v>
      </c>
      <c r="P72" s="3"/>
      <c r="Q72" s="6" t="str">
        <f t="shared" si="3"/>
        <v>OK</v>
      </c>
      <c r="R72" s="6" t="s">
        <v>112</v>
      </c>
    </row>
    <row r="73" spans="1:18" ht="33.950000000000003" customHeight="1" x14ac:dyDescent="0.25">
      <c r="A73" s="10">
        <v>72</v>
      </c>
      <c r="B73" s="2" t="s">
        <v>113</v>
      </c>
      <c r="C73" s="2" t="s">
        <v>67</v>
      </c>
      <c r="D73" s="2" t="s">
        <v>107</v>
      </c>
      <c r="E73" s="2" t="s">
        <v>54</v>
      </c>
      <c r="F73" s="10">
        <v>4</v>
      </c>
      <c r="G73" s="2" t="s">
        <v>23</v>
      </c>
      <c r="H73" s="7" t="str">
        <f>HYPERLINK("vggt/outputs/custom_church_scen_3/reconstruction.glb","vggt/outputs/custom_church_scen_3/reconstruction.glb")</f>
        <v>vggt/outputs/custom_church_scen_3/reconstruction.glb</v>
      </c>
      <c r="I73" s="6" t="s">
        <v>114</v>
      </c>
      <c r="J73" s="3" t="s">
        <v>25</v>
      </c>
      <c r="K73" s="3">
        <v>1</v>
      </c>
      <c r="L73" s="3">
        <v>2</v>
      </c>
      <c r="M73" s="3">
        <v>2</v>
      </c>
      <c r="N73" s="3">
        <v>2</v>
      </c>
      <c r="O73" s="4">
        <f t="shared" si="2"/>
        <v>7</v>
      </c>
      <c r="P73" s="3"/>
      <c r="Q73" s="6" t="str">
        <f t="shared" si="3"/>
        <v>OK</v>
      </c>
      <c r="R73" s="6" t="s">
        <v>115</v>
      </c>
    </row>
    <row r="74" spans="1:18" ht="33.950000000000003" customHeight="1" x14ac:dyDescent="0.25">
      <c r="A74" s="10">
        <v>73</v>
      </c>
      <c r="B74" s="2" t="s">
        <v>113</v>
      </c>
      <c r="C74" s="2" t="s">
        <v>67</v>
      </c>
      <c r="D74" s="2" t="s">
        <v>107</v>
      </c>
      <c r="E74" s="2" t="s">
        <v>54</v>
      </c>
      <c r="F74" s="10">
        <v>4</v>
      </c>
      <c r="G74" s="2" t="s">
        <v>31</v>
      </c>
      <c r="H74" s="7" t="str">
        <f>HYPERLINK("mast3r/outputs/custom_church_scen_3/reconstruction.glb","mast3r/outputs/custom_church_scen_3/reconstruction.glb")</f>
        <v>mast3r/outputs/custom_church_scen_3/reconstruction.glb</v>
      </c>
      <c r="I74" s="6" t="s">
        <v>114</v>
      </c>
      <c r="J74" s="3" t="s">
        <v>25</v>
      </c>
      <c r="K74" s="3">
        <v>1</v>
      </c>
      <c r="L74" s="3">
        <v>1</v>
      </c>
      <c r="M74" s="3">
        <v>2</v>
      </c>
      <c r="N74" s="3">
        <v>1</v>
      </c>
      <c r="O74" s="4">
        <f t="shared" si="2"/>
        <v>5</v>
      </c>
      <c r="P74" s="3"/>
      <c r="Q74" s="6" t="str">
        <f t="shared" si="3"/>
        <v>OK</v>
      </c>
      <c r="R74" s="6" t="s">
        <v>115</v>
      </c>
    </row>
    <row r="75" spans="1:18" ht="33.950000000000003" customHeight="1" x14ac:dyDescent="0.25">
      <c r="A75" s="10">
        <v>74</v>
      </c>
      <c r="B75" s="2" t="s">
        <v>113</v>
      </c>
      <c r="C75" s="2" t="s">
        <v>67</v>
      </c>
      <c r="D75" s="2" t="s">
        <v>107</v>
      </c>
      <c r="E75" s="2" t="s">
        <v>54</v>
      </c>
      <c r="F75" s="10">
        <v>4</v>
      </c>
      <c r="G75" s="2" t="s">
        <v>27</v>
      </c>
      <c r="H75" s="7" t="str">
        <f>HYPERLINK("mapany/outputs/custom_church_scen_3/reconstruction.glb","mapany/outputs/custom_church_scen_3/reconstruction.glb")</f>
        <v>mapany/outputs/custom_church_scen_3/reconstruction.glb</v>
      </c>
      <c r="I75" s="6" t="s">
        <v>114</v>
      </c>
      <c r="J75" s="3" t="s">
        <v>25</v>
      </c>
      <c r="K75" s="3">
        <v>3</v>
      </c>
      <c r="L75" s="3">
        <v>2</v>
      </c>
      <c r="M75" s="3">
        <v>2</v>
      </c>
      <c r="N75" s="3">
        <v>3</v>
      </c>
      <c r="O75" s="4">
        <f t="shared" si="2"/>
        <v>10</v>
      </c>
      <c r="P75" s="3"/>
      <c r="Q75" s="6" t="str">
        <f t="shared" si="3"/>
        <v>OK</v>
      </c>
      <c r="R75" s="6" t="s">
        <v>115</v>
      </c>
    </row>
    <row r="76" spans="1:18" ht="33.950000000000003" customHeight="1" x14ac:dyDescent="0.25">
      <c r="A76" s="10">
        <v>75</v>
      </c>
      <c r="B76" s="2" t="s">
        <v>116</v>
      </c>
      <c r="C76" s="2" t="s">
        <v>67</v>
      </c>
      <c r="D76" s="2" t="s">
        <v>107</v>
      </c>
      <c r="E76" s="2" t="s">
        <v>54</v>
      </c>
      <c r="F76" s="10">
        <v>8</v>
      </c>
      <c r="G76" s="2" t="s">
        <v>23</v>
      </c>
      <c r="H76" s="7" t="str">
        <f>HYPERLINK("vggt/outputs/custom_church_scen_4/reconstruction.glb","vggt/outputs/custom_church_scen_4/reconstruction.glb")</f>
        <v>vggt/outputs/custom_church_scen_4/reconstruction.glb</v>
      </c>
      <c r="I76" s="6" t="s">
        <v>117</v>
      </c>
      <c r="J76" s="3" t="s">
        <v>25</v>
      </c>
      <c r="K76" s="3">
        <v>1</v>
      </c>
      <c r="L76" s="3">
        <v>2</v>
      </c>
      <c r="M76" s="3">
        <v>2</v>
      </c>
      <c r="N76" s="3">
        <v>2</v>
      </c>
      <c r="O76" s="4">
        <f t="shared" si="2"/>
        <v>7</v>
      </c>
      <c r="P76" s="3"/>
      <c r="Q76" s="6" t="str">
        <f t="shared" si="3"/>
        <v>OK</v>
      </c>
      <c r="R76" s="6" t="s">
        <v>118</v>
      </c>
    </row>
    <row r="77" spans="1:18" ht="33.950000000000003" customHeight="1" x14ac:dyDescent="0.25">
      <c r="A77" s="10">
        <v>76</v>
      </c>
      <c r="B77" s="2" t="s">
        <v>116</v>
      </c>
      <c r="C77" s="2" t="s">
        <v>67</v>
      </c>
      <c r="D77" s="2" t="s">
        <v>107</v>
      </c>
      <c r="E77" s="2" t="s">
        <v>54</v>
      </c>
      <c r="F77" s="10">
        <v>8</v>
      </c>
      <c r="G77" s="2" t="s">
        <v>31</v>
      </c>
      <c r="H77" s="7" t="str">
        <f>HYPERLINK("mast3r/outputs/custom_church_scen_4/reconstruction.glb","mast3r/outputs/custom_church_scen_4/reconstruction.glb")</f>
        <v>mast3r/outputs/custom_church_scen_4/reconstruction.glb</v>
      </c>
      <c r="I77" s="6" t="s">
        <v>117</v>
      </c>
      <c r="J77" s="3" t="s">
        <v>25</v>
      </c>
      <c r="K77" s="3">
        <v>2</v>
      </c>
      <c r="L77" s="3">
        <v>2</v>
      </c>
      <c r="M77" s="3">
        <v>2</v>
      </c>
      <c r="N77" s="3">
        <v>2</v>
      </c>
      <c r="O77" s="4">
        <f t="shared" si="2"/>
        <v>8</v>
      </c>
      <c r="P77" s="3"/>
      <c r="Q77" s="6" t="str">
        <f t="shared" si="3"/>
        <v>OK</v>
      </c>
      <c r="R77" s="6" t="s">
        <v>118</v>
      </c>
    </row>
    <row r="78" spans="1:18" ht="33.950000000000003" customHeight="1" x14ac:dyDescent="0.25">
      <c r="A78" s="10">
        <v>77</v>
      </c>
      <c r="B78" s="2" t="s">
        <v>116</v>
      </c>
      <c r="C78" s="2" t="s">
        <v>67</v>
      </c>
      <c r="D78" s="2" t="s">
        <v>107</v>
      </c>
      <c r="E78" s="2" t="s">
        <v>54</v>
      </c>
      <c r="F78" s="10">
        <v>8</v>
      </c>
      <c r="G78" s="2" t="s">
        <v>27</v>
      </c>
      <c r="H78" s="7" t="str">
        <f>HYPERLINK("mapany/outputs/custom_church_scen_4/reconstruction.glb","mapany/outputs/custom_church_scen_4/reconstruction.glb")</f>
        <v>mapany/outputs/custom_church_scen_4/reconstruction.glb</v>
      </c>
      <c r="I78" s="6" t="s">
        <v>117</v>
      </c>
      <c r="J78" s="3" t="s">
        <v>25</v>
      </c>
      <c r="K78" s="3">
        <v>3</v>
      </c>
      <c r="L78" s="3">
        <v>2</v>
      </c>
      <c r="M78" s="3">
        <v>2</v>
      </c>
      <c r="N78" s="3">
        <v>3</v>
      </c>
      <c r="O78" s="4">
        <f t="shared" si="2"/>
        <v>10</v>
      </c>
      <c r="P78" s="3"/>
      <c r="Q78" s="6" t="str">
        <f t="shared" si="3"/>
        <v>OK</v>
      </c>
      <c r="R78" s="6" t="s">
        <v>118</v>
      </c>
    </row>
    <row r="79" spans="1:18" ht="33.950000000000003" customHeight="1" x14ac:dyDescent="0.25">
      <c r="A79" s="10">
        <v>78</v>
      </c>
      <c r="B79" s="2" t="s">
        <v>119</v>
      </c>
      <c r="C79" s="2" t="s">
        <v>20</v>
      </c>
      <c r="D79" s="2" t="s">
        <v>120</v>
      </c>
      <c r="E79" s="2" t="s">
        <v>54</v>
      </c>
      <c r="F79" s="10">
        <v>1</v>
      </c>
      <c r="G79" s="2" t="s">
        <v>23</v>
      </c>
      <c r="H79" s="7" t="str">
        <f>HYPERLINK("vggt/outputs/eth3d_exhibition_hall_scen_1/reconstruction.glb","vggt/outputs/eth3d_exhibition_hall_scen_1/reconstruction.glb")</f>
        <v>vggt/outputs/eth3d_exhibition_hall_scen_1/reconstruction.glb</v>
      </c>
      <c r="I79" s="6" t="s">
        <v>121</v>
      </c>
      <c r="J79" s="3" t="s">
        <v>25</v>
      </c>
      <c r="K79" s="3">
        <v>2</v>
      </c>
      <c r="L79" s="3">
        <v>3</v>
      </c>
      <c r="M79" s="3">
        <v>2</v>
      </c>
      <c r="N79" s="3">
        <v>2</v>
      </c>
      <c r="O79" s="4">
        <f t="shared" si="2"/>
        <v>9</v>
      </c>
      <c r="P79" s="3"/>
      <c r="Q79" s="6" t="str">
        <f t="shared" si="3"/>
        <v>OK</v>
      </c>
      <c r="R79" s="6" t="s">
        <v>122</v>
      </c>
    </row>
    <row r="80" spans="1:18" ht="33.950000000000003" customHeight="1" x14ac:dyDescent="0.25">
      <c r="A80" s="10">
        <v>79</v>
      </c>
      <c r="B80" s="2" t="s">
        <v>119</v>
      </c>
      <c r="C80" s="2" t="s">
        <v>20</v>
      </c>
      <c r="D80" s="2" t="s">
        <v>120</v>
      </c>
      <c r="E80" s="2" t="s">
        <v>54</v>
      </c>
      <c r="F80" s="10">
        <v>1</v>
      </c>
      <c r="G80" s="2" t="s">
        <v>27</v>
      </c>
      <c r="H80" s="7" t="str">
        <f>HYPERLINK("mapany/outputs/eth3d_exhibition_hall_scen_1/reconstruction.glb","mapany/outputs/eth3d_exhibition_hall_scen_1/reconstruction.glb")</f>
        <v>mapany/outputs/eth3d_exhibition_hall_scen_1/reconstruction.glb</v>
      </c>
      <c r="I80" s="6" t="s">
        <v>121</v>
      </c>
      <c r="J80" s="3" t="s">
        <v>25</v>
      </c>
      <c r="K80" s="3">
        <v>3</v>
      </c>
      <c r="L80" s="3">
        <v>3</v>
      </c>
      <c r="M80" s="3">
        <v>3</v>
      </c>
      <c r="N80" s="3">
        <v>3</v>
      </c>
      <c r="O80" s="4">
        <f t="shared" si="2"/>
        <v>12</v>
      </c>
      <c r="P80" s="3"/>
      <c r="Q80" s="6" t="str">
        <f t="shared" si="3"/>
        <v>OK</v>
      </c>
      <c r="R80" s="6" t="s">
        <v>122</v>
      </c>
    </row>
    <row r="81" spans="1:18" ht="33.950000000000003" customHeight="1" x14ac:dyDescent="0.25">
      <c r="A81" s="10">
        <v>80</v>
      </c>
      <c r="B81" s="2" t="s">
        <v>123</v>
      </c>
      <c r="C81" s="2" t="s">
        <v>20</v>
      </c>
      <c r="D81" s="2" t="s">
        <v>120</v>
      </c>
      <c r="E81" s="2" t="s">
        <v>54</v>
      </c>
      <c r="F81" s="10">
        <v>2</v>
      </c>
      <c r="G81" s="2" t="s">
        <v>23</v>
      </c>
      <c r="H81" s="7" t="str">
        <f>HYPERLINK("vggt/outputs/eth3d_exhibition_hall_scen_2/reconstruction.glb","vggt/outputs/eth3d_exhibition_hall_scen_2/reconstruction.glb")</f>
        <v>vggt/outputs/eth3d_exhibition_hall_scen_2/reconstruction.glb</v>
      </c>
      <c r="I81" s="6" t="s">
        <v>124</v>
      </c>
      <c r="J81" s="3" t="s">
        <v>25</v>
      </c>
      <c r="K81" s="3">
        <v>1</v>
      </c>
      <c r="L81" s="3">
        <v>1</v>
      </c>
      <c r="M81" s="3">
        <v>3</v>
      </c>
      <c r="N81" s="3">
        <v>2</v>
      </c>
      <c r="O81" s="4">
        <f t="shared" si="2"/>
        <v>7</v>
      </c>
      <c r="P81" s="3"/>
      <c r="Q81" s="6" t="str">
        <f t="shared" si="3"/>
        <v>OK</v>
      </c>
      <c r="R81" s="6" t="s">
        <v>125</v>
      </c>
    </row>
    <row r="82" spans="1:18" ht="33.950000000000003" customHeight="1" x14ac:dyDescent="0.25">
      <c r="A82" s="10">
        <v>81</v>
      </c>
      <c r="B82" s="2" t="s">
        <v>123</v>
      </c>
      <c r="C82" s="2" t="s">
        <v>20</v>
      </c>
      <c r="D82" s="2" t="s">
        <v>120</v>
      </c>
      <c r="E82" s="2" t="s">
        <v>54</v>
      </c>
      <c r="F82" s="10">
        <v>2</v>
      </c>
      <c r="G82" s="2" t="s">
        <v>31</v>
      </c>
      <c r="H82" s="7" t="str">
        <f>HYPERLINK("mast3r/outputs/eth3d_exhibition_hall_scen_2/reconstruction.glb","mast3r/outputs/eth3d_exhibition_hall_scen_2/reconstruction.glb")</f>
        <v>mast3r/outputs/eth3d_exhibition_hall_scen_2/reconstruction.glb</v>
      </c>
      <c r="I82" s="6" t="s">
        <v>124</v>
      </c>
      <c r="J82" s="3" t="s">
        <v>126</v>
      </c>
      <c r="K82" s="3">
        <v>0</v>
      </c>
      <c r="L82" s="3">
        <v>0</v>
      </c>
      <c r="M82" s="3">
        <v>0</v>
      </c>
      <c r="N82" s="3">
        <v>0</v>
      </c>
      <c r="O82" s="4">
        <f t="shared" si="2"/>
        <v>0</v>
      </c>
      <c r="P82" s="3"/>
      <c r="Q82" s="6" t="str">
        <f t="shared" si="3"/>
        <v>OK</v>
      </c>
      <c r="R82" s="6" t="s">
        <v>125</v>
      </c>
    </row>
    <row r="83" spans="1:18" ht="33.950000000000003" customHeight="1" x14ac:dyDescent="0.25">
      <c r="A83" s="10">
        <v>82</v>
      </c>
      <c r="B83" s="2" t="s">
        <v>123</v>
      </c>
      <c r="C83" s="2" t="s">
        <v>20</v>
      </c>
      <c r="D83" s="2" t="s">
        <v>120</v>
      </c>
      <c r="E83" s="2" t="s">
        <v>54</v>
      </c>
      <c r="F83" s="10">
        <v>2</v>
      </c>
      <c r="G83" s="2" t="s">
        <v>27</v>
      </c>
      <c r="H83" s="7" t="str">
        <f>HYPERLINK("mapany/outputs/eth3d_exhibition_hall_scen_2/reconstruction.glb","mapany/outputs/eth3d_exhibition_hall_scen_2/reconstruction.glb")</f>
        <v>mapany/outputs/eth3d_exhibition_hall_scen_2/reconstruction.glb</v>
      </c>
      <c r="I83" s="6" t="s">
        <v>124</v>
      </c>
      <c r="J83" s="3" t="s">
        <v>25</v>
      </c>
      <c r="K83" s="3">
        <v>2</v>
      </c>
      <c r="L83" s="3">
        <v>1</v>
      </c>
      <c r="M83" s="3">
        <v>3</v>
      </c>
      <c r="N83" s="3">
        <v>2</v>
      </c>
      <c r="O83" s="4">
        <f t="shared" si="2"/>
        <v>8</v>
      </c>
      <c r="P83" s="3"/>
      <c r="Q83" s="6" t="str">
        <f t="shared" si="3"/>
        <v>OK</v>
      </c>
      <c r="R83" s="6" t="s">
        <v>125</v>
      </c>
    </row>
    <row r="84" spans="1:18" ht="33.950000000000003" customHeight="1" x14ac:dyDescent="0.25">
      <c r="A84" s="10">
        <v>83</v>
      </c>
      <c r="B84" s="2" t="s">
        <v>127</v>
      </c>
      <c r="C84" s="2" t="s">
        <v>20</v>
      </c>
      <c r="D84" s="2" t="s">
        <v>120</v>
      </c>
      <c r="E84" s="2" t="s">
        <v>54</v>
      </c>
      <c r="F84" s="10">
        <v>4</v>
      </c>
      <c r="G84" s="2" t="s">
        <v>23</v>
      </c>
      <c r="H84" s="7" t="str">
        <f>HYPERLINK("vggt/outputs/eth3d_exhibition_hall_scen_3/reconstruction.glb","vggt/outputs/eth3d_exhibition_hall_scen_3/reconstruction.glb")</f>
        <v>vggt/outputs/eth3d_exhibition_hall_scen_3/reconstruction.glb</v>
      </c>
      <c r="I84" s="6" t="s">
        <v>128</v>
      </c>
      <c r="J84" s="3" t="s">
        <v>25</v>
      </c>
      <c r="K84" s="3">
        <v>1</v>
      </c>
      <c r="L84" s="3">
        <v>1</v>
      </c>
      <c r="M84" s="3">
        <v>2</v>
      </c>
      <c r="N84" s="3">
        <v>1</v>
      </c>
      <c r="O84" s="4">
        <f t="shared" si="2"/>
        <v>5</v>
      </c>
      <c r="P84" s="3"/>
      <c r="Q84" s="6" t="str">
        <f t="shared" si="3"/>
        <v>OK</v>
      </c>
      <c r="R84" s="6" t="s">
        <v>129</v>
      </c>
    </row>
    <row r="85" spans="1:18" ht="33.950000000000003" customHeight="1" x14ac:dyDescent="0.25">
      <c r="A85" s="10">
        <v>84</v>
      </c>
      <c r="B85" s="2" t="s">
        <v>127</v>
      </c>
      <c r="C85" s="2" t="s">
        <v>20</v>
      </c>
      <c r="D85" s="2" t="s">
        <v>120</v>
      </c>
      <c r="E85" s="2" t="s">
        <v>54</v>
      </c>
      <c r="F85" s="10">
        <v>4</v>
      </c>
      <c r="G85" s="2" t="s">
        <v>31</v>
      </c>
      <c r="H85" s="7" t="str">
        <f>HYPERLINK("mast3r/outputs/eth3d_exhibition_hall_scen_3/reconstruction.glb","mast3r/outputs/eth3d_exhibition_hall_scen_3/reconstruction.glb")</f>
        <v>mast3r/outputs/eth3d_exhibition_hall_scen_3/reconstruction.glb</v>
      </c>
      <c r="I85" s="6" t="s">
        <v>128</v>
      </c>
      <c r="J85" s="3" t="s">
        <v>126</v>
      </c>
      <c r="K85" s="3">
        <v>0</v>
      </c>
      <c r="L85" s="3">
        <v>0</v>
      </c>
      <c r="M85" s="3">
        <v>0</v>
      </c>
      <c r="N85" s="3">
        <v>0</v>
      </c>
      <c r="O85" s="4">
        <f t="shared" si="2"/>
        <v>0</v>
      </c>
      <c r="P85" s="3"/>
      <c r="Q85" s="6" t="str">
        <f t="shared" si="3"/>
        <v>OK</v>
      </c>
      <c r="R85" s="6" t="s">
        <v>129</v>
      </c>
    </row>
    <row r="86" spans="1:18" ht="33.950000000000003" customHeight="1" x14ac:dyDescent="0.25">
      <c r="A86" s="10">
        <v>85</v>
      </c>
      <c r="B86" s="2" t="s">
        <v>127</v>
      </c>
      <c r="C86" s="2" t="s">
        <v>20</v>
      </c>
      <c r="D86" s="2" t="s">
        <v>120</v>
      </c>
      <c r="E86" s="2" t="s">
        <v>54</v>
      </c>
      <c r="F86" s="10">
        <v>4</v>
      </c>
      <c r="G86" s="2" t="s">
        <v>27</v>
      </c>
      <c r="H86" s="7" t="str">
        <f>HYPERLINK("mapany/outputs/eth3d_exhibition_hall_scen_3/reconstruction.glb","mapany/outputs/eth3d_exhibition_hall_scen_3/reconstruction.glb")</f>
        <v>mapany/outputs/eth3d_exhibition_hall_scen_3/reconstruction.glb</v>
      </c>
      <c r="I86" s="6" t="s">
        <v>128</v>
      </c>
      <c r="J86" s="3" t="s">
        <v>25</v>
      </c>
      <c r="K86" s="3">
        <v>2</v>
      </c>
      <c r="L86" s="3">
        <v>1</v>
      </c>
      <c r="M86" s="3">
        <v>2</v>
      </c>
      <c r="N86" s="3">
        <v>2</v>
      </c>
      <c r="O86" s="4">
        <f t="shared" si="2"/>
        <v>7</v>
      </c>
      <c r="P86" s="3"/>
      <c r="Q86" s="6" t="str">
        <f t="shared" si="3"/>
        <v>OK</v>
      </c>
      <c r="R86" s="6" t="s">
        <v>129</v>
      </c>
    </row>
    <row r="87" spans="1:18" ht="33.950000000000003" customHeight="1" x14ac:dyDescent="0.25">
      <c r="A87" s="10">
        <v>86</v>
      </c>
      <c r="B87" s="2" t="s">
        <v>130</v>
      </c>
      <c r="C87" s="2" t="s">
        <v>20</v>
      </c>
      <c r="D87" s="2" t="s">
        <v>120</v>
      </c>
      <c r="E87" s="2" t="s">
        <v>54</v>
      </c>
      <c r="F87" s="10">
        <v>8</v>
      </c>
      <c r="G87" s="2" t="s">
        <v>23</v>
      </c>
      <c r="H87" s="7" t="str">
        <f>HYPERLINK("vggt/outputs/eth3d_exhibition_hall_scen_4/reconstruction.glb","vggt/outputs/eth3d_exhibition_hall_scen_4/reconstruction.glb")</f>
        <v>vggt/outputs/eth3d_exhibition_hall_scen_4/reconstruction.glb</v>
      </c>
      <c r="I87" s="6" t="s">
        <v>131</v>
      </c>
      <c r="J87" s="3" t="s">
        <v>25</v>
      </c>
      <c r="K87" s="3">
        <v>1</v>
      </c>
      <c r="L87" s="3">
        <v>2</v>
      </c>
      <c r="M87" s="3">
        <v>2</v>
      </c>
      <c r="N87" s="3">
        <v>1</v>
      </c>
      <c r="O87" s="4">
        <f t="shared" si="2"/>
        <v>6</v>
      </c>
      <c r="P87" s="3"/>
      <c r="Q87" s="6" t="str">
        <f t="shared" si="3"/>
        <v>OK</v>
      </c>
      <c r="R87" s="6" t="s">
        <v>132</v>
      </c>
    </row>
    <row r="88" spans="1:18" ht="33.950000000000003" customHeight="1" x14ac:dyDescent="0.25">
      <c r="A88" s="10">
        <v>87</v>
      </c>
      <c r="B88" s="2" t="s">
        <v>130</v>
      </c>
      <c r="C88" s="2" t="s">
        <v>20</v>
      </c>
      <c r="D88" s="2" t="s">
        <v>120</v>
      </c>
      <c r="E88" s="2" t="s">
        <v>54</v>
      </c>
      <c r="F88" s="10">
        <v>8</v>
      </c>
      <c r="G88" s="2" t="s">
        <v>31</v>
      </c>
      <c r="H88" s="7" t="str">
        <f>HYPERLINK("mast3r/outputs/eth3d_exhibition_hall_scen_4/reconstruction.glb","mast3r/outputs/eth3d_exhibition_hall_scen_4/reconstruction.glb")</f>
        <v>mast3r/outputs/eth3d_exhibition_hall_scen_4/reconstruction.glb</v>
      </c>
      <c r="I88" s="6" t="s">
        <v>131</v>
      </c>
      <c r="J88" s="3" t="s">
        <v>126</v>
      </c>
      <c r="K88" s="3">
        <v>0</v>
      </c>
      <c r="L88" s="3">
        <v>0</v>
      </c>
      <c r="M88" s="3">
        <v>0</v>
      </c>
      <c r="N88" s="3">
        <v>0</v>
      </c>
      <c r="O88" s="4">
        <f t="shared" si="2"/>
        <v>0</v>
      </c>
      <c r="P88" s="3"/>
      <c r="Q88" s="6" t="str">
        <f t="shared" si="3"/>
        <v>OK</v>
      </c>
      <c r="R88" s="6" t="s">
        <v>132</v>
      </c>
    </row>
    <row r="89" spans="1:18" ht="33.950000000000003" customHeight="1" x14ac:dyDescent="0.25">
      <c r="A89" s="10">
        <v>88</v>
      </c>
      <c r="B89" s="2" t="s">
        <v>130</v>
      </c>
      <c r="C89" s="2" t="s">
        <v>20</v>
      </c>
      <c r="D89" s="2" t="s">
        <v>120</v>
      </c>
      <c r="E89" s="2" t="s">
        <v>54</v>
      </c>
      <c r="F89" s="10">
        <v>8</v>
      </c>
      <c r="G89" s="2" t="s">
        <v>27</v>
      </c>
      <c r="H89" s="7" t="str">
        <f>HYPERLINK("mapany/outputs/eth3d_exhibition_hall_scen_4/reconstruction.glb","mapany/outputs/eth3d_exhibition_hall_scen_4/reconstruction.glb")</f>
        <v>mapany/outputs/eth3d_exhibition_hall_scen_4/reconstruction.glb</v>
      </c>
      <c r="I89" s="6" t="s">
        <v>131</v>
      </c>
      <c r="J89" s="3" t="s">
        <v>25</v>
      </c>
      <c r="K89" s="3">
        <v>1</v>
      </c>
      <c r="L89" s="3">
        <v>1</v>
      </c>
      <c r="M89" s="3">
        <v>1</v>
      </c>
      <c r="N89" s="3">
        <v>1</v>
      </c>
      <c r="O89" s="4">
        <f t="shared" si="2"/>
        <v>4</v>
      </c>
      <c r="P89" s="3"/>
      <c r="Q89" s="6" t="str">
        <f t="shared" si="3"/>
        <v>OK</v>
      </c>
      <c r="R89" s="6" t="s">
        <v>132</v>
      </c>
    </row>
    <row r="90" spans="1:18" ht="33.950000000000003" customHeight="1" x14ac:dyDescent="0.25">
      <c r="A90" s="10">
        <v>89</v>
      </c>
      <c r="B90" s="2" t="s">
        <v>133</v>
      </c>
      <c r="C90" s="2" t="s">
        <v>134</v>
      </c>
      <c r="D90" s="2" t="s">
        <v>135</v>
      </c>
      <c r="E90" s="2" t="s">
        <v>22</v>
      </c>
      <c r="F90" s="10">
        <v>1</v>
      </c>
      <c r="G90" s="2" t="s">
        <v>23</v>
      </c>
      <c r="H90" s="7" t="str">
        <f>HYPERLINK("vggt/outputs/llff_fern_scen_1/reconstruction.glb","vggt/outputs/llff_fern_scen_1/reconstruction.glb")</f>
        <v>vggt/outputs/llff_fern_scen_1/reconstruction.glb</v>
      </c>
      <c r="I90" s="6" t="s">
        <v>136</v>
      </c>
      <c r="J90" s="3" t="s">
        <v>25</v>
      </c>
      <c r="K90" s="3">
        <v>1</v>
      </c>
      <c r="L90" s="3">
        <v>2</v>
      </c>
      <c r="M90" s="3">
        <v>2</v>
      </c>
      <c r="N90" s="3">
        <v>1</v>
      </c>
      <c r="O90" s="4">
        <f t="shared" si="2"/>
        <v>6</v>
      </c>
      <c r="P90" s="3"/>
      <c r="Q90" s="6" t="str">
        <f t="shared" si="3"/>
        <v>OK</v>
      </c>
      <c r="R90" s="6" t="s">
        <v>137</v>
      </c>
    </row>
    <row r="91" spans="1:18" ht="33.950000000000003" customHeight="1" x14ac:dyDescent="0.25">
      <c r="A91" s="10">
        <v>90</v>
      </c>
      <c r="B91" s="2" t="s">
        <v>133</v>
      </c>
      <c r="C91" s="2" t="s">
        <v>134</v>
      </c>
      <c r="D91" s="2" t="s">
        <v>135</v>
      </c>
      <c r="E91" s="2" t="s">
        <v>22</v>
      </c>
      <c r="F91" s="10">
        <v>1</v>
      </c>
      <c r="G91" s="2" t="s">
        <v>27</v>
      </c>
      <c r="H91" s="7" t="str">
        <f>HYPERLINK("mapany/outputs/llff_fern_scen_1/reconstruction.glb","mapany/outputs/llff_fern_scen_1/reconstruction.glb")</f>
        <v>mapany/outputs/llff_fern_scen_1/reconstruction.glb</v>
      </c>
      <c r="I91" s="6" t="s">
        <v>136</v>
      </c>
      <c r="J91" s="3" t="s">
        <v>25</v>
      </c>
      <c r="K91" s="3">
        <v>2</v>
      </c>
      <c r="L91" s="3">
        <v>2</v>
      </c>
      <c r="M91" s="3">
        <v>2</v>
      </c>
      <c r="N91" s="3">
        <v>2</v>
      </c>
      <c r="O91" s="4">
        <f t="shared" si="2"/>
        <v>8</v>
      </c>
      <c r="P91" s="3"/>
      <c r="Q91" s="6" t="str">
        <f t="shared" si="3"/>
        <v>OK</v>
      </c>
      <c r="R91" s="6" t="s">
        <v>137</v>
      </c>
    </row>
    <row r="92" spans="1:18" ht="33.950000000000003" customHeight="1" x14ac:dyDescent="0.25">
      <c r="A92" s="10">
        <v>91</v>
      </c>
      <c r="B92" s="2" t="s">
        <v>138</v>
      </c>
      <c r="C92" s="2" t="s">
        <v>134</v>
      </c>
      <c r="D92" s="2" t="s">
        <v>135</v>
      </c>
      <c r="E92" s="2" t="s">
        <v>22</v>
      </c>
      <c r="F92" s="10">
        <v>2</v>
      </c>
      <c r="G92" s="2" t="s">
        <v>23</v>
      </c>
      <c r="H92" s="7" t="str">
        <f>HYPERLINK("vggt/outputs/llff_fern_scen_2/reconstruction.glb","vggt/outputs/llff_fern_scen_2/reconstruction.glb")</f>
        <v>vggt/outputs/llff_fern_scen_2/reconstruction.glb</v>
      </c>
      <c r="I92" s="6" t="s">
        <v>139</v>
      </c>
      <c r="J92" s="3" t="s">
        <v>25</v>
      </c>
      <c r="K92" s="3">
        <v>1</v>
      </c>
      <c r="L92" s="3">
        <v>2</v>
      </c>
      <c r="M92" s="3">
        <v>2</v>
      </c>
      <c r="N92" s="3">
        <v>2</v>
      </c>
      <c r="O92" s="4">
        <f t="shared" si="2"/>
        <v>7</v>
      </c>
      <c r="P92" s="3"/>
      <c r="Q92" s="6" t="str">
        <f t="shared" si="3"/>
        <v>OK</v>
      </c>
      <c r="R92" s="6" t="s">
        <v>140</v>
      </c>
    </row>
    <row r="93" spans="1:18" ht="33.950000000000003" customHeight="1" x14ac:dyDescent="0.25">
      <c r="A93" s="10">
        <v>92</v>
      </c>
      <c r="B93" s="2" t="s">
        <v>138</v>
      </c>
      <c r="C93" s="2" t="s">
        <v>134</v>
      </c>
      <c r="D93" s="2" t="s">
        <v>135</v>
      </c>
      <c r="E93" s="2" t="s">
        <v>22</v>
      </c>
      <c r="F93" s="10">
        <v>2</v>
      </c>
      <c r="G93" s="2" t="s">
        <v>31</v>
      </c>
      <c r="H93" s="7" t="str">
        <f>HYPERLINK("mast3r/outputs/llff_fern_scen_2/reconstruction.glb","mast3r/outputs/llff_fern_scen_2/reconstruction.glb")</f>
        <v>mast3r/outputs/llff_fern_scen_2/reconstruction.glb</v>
      </c>
      <c r="I93" s="6" t="s">
        <v>139</v>
      </c>
      <c r="J93" s="3" t="s">
        <v>25</v>
      </c>
      <c r="K93" s="3">
        <v>1</v>
      </c>
      <c r="L93" s="3">
        <v>2</v>
      </c>
      <c r="M93" s="3">
        <v>1</v>
      </c>
      <c r="N93" s="3">
        <v>1</v>
      </c>
      <c r="O93" s="4">
        <f t="shared" si="2"/>
        <v>5</v>
      </c>
      <c r="P93" s="3"/>
      <c r="Q93" s="6" t="str">
        <f t="shared" si="3"/>
        <v>OK</v>
      </c>
      <c r="R93" s="6" t="s">
        <v>140</v>
      </c>
    </row>
    <row r="94" spans="1:18" ht="33.950000000000003" customHeight="1" x14ac:dyDescent="0.25">
      <c r="A94" s="10">
        <v>93</v>
      </c>
      <c r="B94" s="2" t="s">
        <v>138</v>
      </c>
      <c r="C94" s="2" t="s">
        <v>134</v>
      </c>
      <c r="D94" s="2" t="s">
        <v>135</v>
      </c>
      <c r="E94" s="2" t="s">
        <v>22</v>
      </c>
      <c r="F94" s="10">
        <v>2</v>
      </c>
      <c r="G94" s="2" t="s">
        <v>27</v>
      </c>
      <c r="H94" s="7" t="str">
        <f>HYPERLINK("mapany/outputs/llff_fern_scen_2/reconstruction.glb","mapany/outputs/llff_fern_scen_2/reconstruction.glb")</f>
        <v>mapany/outputs/llff_fern_scen_2/reconstruction.glb</v>
      </c>
      <c r="I94" s="6" t="s">
        <v>139</v>
      </c>
      <c r="J94" s="3" t="s">
        <v>25</v>
      </c>
      <c r="K94" s="3">
        <v>2</v>
      </c>
      <c r="L94" s="3">
        <v>2</v>
      </c>
      <c r="M94" s="3">
        <v>2</v>
      </c>
      <c r="N94" s="3">
        <v>2</v>
      </c>
      <c r="O94" s="4">
        <f t="shared" si="2"/>
        <v>8</v>
      </c>
      <c r="P94" s="3"/>
      <c r="Q94" s="6" t="str">
        <f t="shared" si="3"/>
        <v>OK</v>
      </c>
      <c r="R94" s="6" t="s">
        <v>140</v>
      </c>
    </row>
    <row r="95" spans="1:18" ht="33.950000000000003" customHeight="1" x14ac:dyDescent="0.25">
      <c r="A95" s="10">
        <v>94</v>
      </c>
      <c r="B95" s="2" t="s">
        <v>141</v>
      </c>
      <c r="C95" s="2" t="s">
        <v>134</v>
      </c>
      <c r="D95" s="2" t="s">
        <v>135</v>
      </c>
      <c r="E95" s="2" t="s">
        <v>22</v>
      </c>
      <c r="F95" s="10">
        <v>4</v>
      </c>
      <c r="G95" s="2" t="s">
        <v>23</v>
      </c>
      <c r="H95" s="7" t="str">
        <f>HYPERLINK("vggt/outputs/llff_fern_scen_3/reconstruction.glb","vggt/outputs/llff_fern_scen_3/reconstruction.glb")</f>
        <v>vggt/outputs/llff_fern_scen_3/reconstruction.glb</v>
      </c>
      <c r="I95" s="6" t="s">
        <v>142</v>
      </c>
      <c r="J95" s="3" t="s">
        <v>25</v>
      </c>
      <c r="K95" s="3">
        <v>1</v>
      </c>
      <c r="L95" s="3">
        <v>2</v>
      </c>
      <c r="M95" s="3">
        <v>2</v>
      </c>
      <c r="N95" s="3">
        <v>1</v>
      </c>
      <c r="O95" s="4">
        <f t="shared" si="2"/>
        <v>6</v>
      </c>
      <c r="P95" s="3"/>
      <c r="Q95" s="6" t="str">
        <f t="shared" si="3"/>
        <v>OK</v>
      </c>
      <c r="R95" s="6" t="s">
        <v>143</v>
      </c>
    </row>
    <row r="96" spans="1:18" ht="33.950000000000003" customHeight="1" x14ac:dyDescent="0.25">
      <c r="A96" s="10">
        <v>95</v>
      </c>
      <c r="B96" s="2" t="s">
        <v>141</v>
      </c>
      <c r="C96" s="2" t="s">
        <v>134</v>
      </c>
      <c r="D96" s="2" t="s">
        <v>135</v>
      </c>
      <c r="E96" s="2" t="s">
        <v>22</v>
      </c>
      <c r="F96" s="10">
        <v>4</v>
      </c>
      <c r="G96" s="2" t="s">
        <v>31</v>
      </c>
      <c r="H96" s="7" t="str">
        <f>HYPERLINK("mast3r/outputs/llff_fern_scen_3/reconstruction.glb","mast3r/outputs/llff_fern_scen_3/reconstruction.glb")</f>
        <v>mast3r/outputs/llff_fern_scen_3/reconstruction.glb</v>
      </c>
      <c r="I96" s="6" t="s">
        <v>142</v>
      </c>
      <c r="J96" s="3" t="s">
        <v>25</v>
      </c>
      <c r="K96" s="3">
        <v>1</v>
      </c>
      <c r="L96" s="3">
        <v>2</v>
      </c>
      <c r="M96" s="3">
        <v>1</v>
      </c>
      <c r="N96" s="3">
        <v>1</v>
      </c>
      <c r="O96" s="4">
        <f t="shared" si="2"/>
        <v>5</v>
      </c>
      <c r="P96" s="3"/>
      <c r="Q96" s="6" t="str">
        <f t="shared" si="3"/>
        <v>OK</v>
      </c>
      <c r="R96" s="6" t="s">
        <v>143</v>
      </c>
    </row>
    <row r="97" spans="1:18" ht="33.950000000000003" customHeight="1" x14ac:dyDescent="0.25">
      <c r="A97" s="10">
        <v>96</v>
      </c>
      <c r="B97" s="2" t="s">
        <v>141</v>
      </c>
      <c r="C97" s="2" t="s">
        <v>134</v>
      </c>
      <c r="D97" s="2" t="s">
        <v>135</v>
      </c>
      <c r="E97" s="2" t="s">
        <v>22</v>
      </c>
      <c r="F97" s="10">
        <v>4</v>
      </c>
      <c r="G97" s="2" t="s">
        <v>27</v>
      </c>
      <c r="H97" s="7" t="str">
        <f>HYPERLINK("mapany/outputs/llff_fern_scen_3/reconstruction.glb","mapany/outputs/llff_fern_scen_3/reconstruction.glb")</f>
        <v>mapany/outputs/llff_fern_scen_3/reconstruction.glb</v>
      </c>
      <c r="I97" s="6" t="s">
        <v>142</v>
      </c>
      <c r="J97" s="3" t="s">
        <v>25</v>
      </c>
      <c r="K97" s="3">
        <v>2</v>
      </c>
      <c r="L97" s="3">
        <v>2</v>
      </c>
      <c r="M97" s="3">
        <v>2</v>
      </c>
      <c r="N97" s="3">
        <v>2</v>
      </c>
      <c r="O97" s="4">
        <f t="shared" si="2"/>
        <v>8</v>
      </c>
      <c r="P97" s="3"/>
      <c r="Q97" s="6" t="str">
        <f t="shared" si="3"/>
        <v>OK</v>
      </c>
      <c r="R97" s="6" t="s">
        <v>143</v>
      </c>
    </row>
    <row r="98" spans="1:18" ht="33.950000000000003" customHeight="1" x14ac:dyDescent="0.25">
      <c r="A98" s="10">
        <v>97</v>
      </c>
      <c r="B98" s="2" t="s">
        <v>144</v>
      </c>
      <c r="C98" s="2" t="s">
        <v>134</v>
      </c>
      <c r="D98" s="2" t="s">
        <v>135</v>
      </c>
      <c r="E98" s="2" t="s">
        <v>22</v>
      </c>
      <c r="F98" s="10">
        <v>8</v>
      </c>
      <c r="G98" s="2" t="s">
        <v>23</v>
      </c>
      <c r="H98" s="7" t="str">
        <f>HYPERLINK("vggt/outputs/llff_fern_scen_4/reconstruction.glb","vggt/outputs/llff_fern_scen_4/reconstruction.glb")</f>
        <v>vggt/outputs/llff_fern_scen_4/reconstruction.glb</v>
      </c>
      <c r="I98" s="6" t="s">
        <v>145</v>
      </c>
      <c r="J98" s="3" t="s">
        <v>25</v>
      </c>
      <c r="K98" s="3">
        <v>1</v>
      </c>
      <c r="L98" s="3">
        <v>2</v>
      </c>
      <c r="M98" s="3">
        <v>2</v>
      </c>
      <c r="N98" s="3">
        <v>1</v>
      </c>
      <c r="O98" s="4">
        <f t="shared" si="2"/>
        <v>6</v>
      </c>
      <c r="P98" s="3"/>
      <c r="Q98" s="6" t="str">
        <f t="shared" si="3"/>
        <v>OK</v>
      </c>
      <c r="R98" s="6" t="s">
        <v>146</v>
      </c>
    </row>
    <row r="99" spans="1:18" ht="33.950000000000003" customHeight="1" x14ac:dyDescent="0.25">
      <c r="A99" s="10">
        <v>98</v>
      </c>
      <c r="B99" s="2" t="s">
        <v>144</v>
      </c>
      <c r="C99" s="2" t="s">
        <v>134</v>
      </c>
      <c r="D99" s="2" t="s">
        <v>135</v>
      </c>
      <c r="E99" s="2" t="s">
        <v>22</v>
      </c>
      <c r="F99" s="10">
        <v>8</v>
      </c>
      <c r="G99" s="2" t="s">
        <v>31</v>
      </c>
      <c r="H99" s="7" t="str">
        <f>HYPERLINK("mast3r/outputs/llff_fern_scen_4/reconstruction.glb","mast3r/outputs/llff_fern_scen_4/reconstruction.glb")</f>
        <v>mast3r/outputs/llff_fern_scen_4/reconstruction.glb</v>
      </c>
      <c r="I99" s="6" t="s">
        <v>145</v>
      </c>
      <c r="J99" s="3" t="s">
        <v>25</v>
      </c>
      <c r="K99" s="3">
        <v>1</v>
      </c>
      <c r="L99" s="3">
        <v>2</v>
      </c>
      <c r="M99" s="3">
        <v>1</v>
      </c>
      <c r="N99" s="3">
        <v>2</v>
      </c>
      <c r="O99" s="4">
        <f t="shared" si="2"/>
        <v>6</v>
      </c>
      <c r="P99" s="3"/>
      <c r="Q99" s="6" t="str">
        <f t="shared" si="3"/>
        <v>OK</v>
      </c>
      <c r="R99" s="6" t="s">
        <v>146</v>
      </c>
    </row>
    <row r="100" spans="1:18" ht="33.950000000000003" customHeight="1" x14ac:dyDescent="0.25">
      <c r="A100" s="10">
        <v>99</v>
      </c>
      <c r="B100" s="2" t="s">
        <v>144</v>
      </c>
      <c r="C100" s="2" t="s">
        <v>134</v>
      </c>
      <c r="D100" s="2" t="s">
        <v>135</v>
      </c>
      <c r="E100" s="2" t="s">
        <v>22</v>
      </c>
      <c r="F100" s="10">
        <v>8</v>
      </c>
      <c r="G100" s="2" t="s">
        <v>27</v>
      </c>
      <c r="H100" s="7" t="str">
        <f>HYPERLINK("mapany/outputs/llff_fern_scen_4/reconstruction.glb","mapany/outputs/llff_fern_scen_4/reconstruction.glb")</f>
        <v>mapany/outputs/llff_fern_scen_4/reconstruction.glb</v>
      </c>
      <c r="I100" s="6" t="s">
        <v>145</v>
      </c>
      <c r="J100" s="3" t="s">
        <v>25</v>
      </c>
      <c r="K100" s="3">
        <v>3</v>
      </c>
      <c r="L100" s="3">
        <v>2</v>
      </c>
      <c r="M100" s="3">
        <v>2</v>
      </c>
      <c r="N100" s="3">
        <v>2</v>
      </c>
      <c r="O100" s="4">
        <f t="shared" si="2"/>
        <v>9</v>
      </c>
      <c r="P100" s="3"/>
      <c r="Q100" s="6" t="str">
        <f t="shared" si="3"/>
        <v>OK</v>
      </c>
      <c r="R100" s="6" t="s">
        <v>146</v>
      </c>
    </row>
    <row r="101" spans="1:18" ht="33.950000000000003" customHeight="1" x14ac:dyDescent="0.25">
      <c r="A101" s="10">
        <v>100</v>
      </c>
      <c r="B101" s="2" t="s">
        <v>147</v>
      </c>
      <c r="C101" s="2" t="s">
        <v>134</v>
      </c>
      <c r="D101" s="2" t="s">
        <v>148</v>
      </c>
      <c r="E101" s="2" t="s">
        <v>22</v>
      </c>
      <c r="F101" s="10">
        <v>1</v>
      </c>
      <c r="G101" s="2" t="s">
        <v>23</v>
      </c>
      <c r="H101" s="7" t="str">
        <f>HYPERLINK("vggt/outputs/llff_flower_scen_1/reconstruction.glb","vggt/outputs/llff_flower_scen_1/reconstruction.glb")</f>
        <v>vggt/outputs/llff_flower_scen_1/reconstruction.glb</v>
      </c>
      <c r="I101" s="6" t="s">
        <v>149</v>
      </c>
      <c r="J101" s="3" t="s">
        <v>25</v>
      </c>
      <c r="K101" s="3">
        <v>1</v>
      </c>
      <c r="L101" s="3">
        <v>2</v>
      </c>
      <c r="M101" s="3">
        <v>2</v>
      </c>
      <c r="N101" s="3">
        <v>1</v>
      </c>
      <c r="O101" s="4">
        <f t="shared" si="2"/>
        <v>6</v>
      </c>
      <c r="P101" s="3"/>
      <c r="Q101" s="6" t="str">
        <f t="shared" si="3"/>
        <v>OK</v>
      </c>
      <c r="R101" s="6" t="s">
        <v>150</v>
      </c>
    </row>
    <row r="102" spans="1:18" ht="33.950000000000003" customHeight="1" x14ac:dyDescent="0.25">
      <c r="A102" s="10">
        <v>101</v>
      </c>
      <c r="B102" s="2" t="s">
        <v>147</v>
      </c>
      <c r="C102" s="2" t="s">
        <v>134</v>
      </c>
      <c r="D102" s="2" t="s">
        <v>148</v>
      </c>
      <c r="E102" s="2" t="s">
        <v>22</v>
      </c>
      <c r="F102" s="10">
        <v>1</v>
      </c>
      <c r="G102" s="2" t="s">
        <v>27</v>
      </c>
      <c r="H102" s="7" t="str">
        <f>HYPERLINK("mapany/outputs/llff_flower_scen_1/reconstruction.glb","mapany/outputs/llff_flower_scen_1/reconstruction.glb")</f>
        <v>mapany/outputs/llff_flower_scen_1/reconstruction.glb</v>
      </c>
      <c r="I102" s="6" t="s">
        <v>149</v>
      </c>
      <c r="J102" s="3" t="s">
        <v>25</v>
      </c>
      <c r="K102" s="3">
        <v>2</v>
      </c>
      <c r="L102" s="3">
        <v>2</v>
      </c>
      <c r="M102" s="3">
        <v>2</v>
      </c>
      <c r="N102" s="3">
        <v>2</v>
      </c>
      <c r="O102" s="4">
        <f t="shared" si="2"/>
        <v>8</v>
      </c>
      <c r="P102" s="3"/>
      <c r="Q102" s="6" t="str">
        <f t="shared" si="3"/>
        <v>OK</v>
      </c>
      <c r="R102" s="6" t="s">
        <v>150</v>
      </c>
    </row>
    <row r="103" spans="1:18" ht="33.950000000000003" customHeight="1" x14ac:dyDescent="0.25">
      <c r="A103" s="10">
        <v>102</v>
      </c>
      <c r="B103" s="2" t="s">
        <v>151</v>
      </c>
      <c r="C103" s="2" t="s">
        <v>134</v>
      </c>
      <c r="D103" s="2" t="s">
        <v>148</v>
      </c>
      <c r="E103" s="2" t="s">
        <v>22</v>
      </c>
      <c r="F103" s="10">
        <v>2</v>
      </c>
      <c r="G103" s="2" t="s">
        <v>23</v>
      </c>
      <c r="H103" s="7" t="str">
        <f>HYPERLINK("vggt/outputs/llff_flower_scen_2/reconstruction.glb","vggt/outputs/llff_flower_scen_2/reconstruction.glb")</f>
        <v>vggt/outputs/llff_flower_scen_2/reconstruction.glb</v>
      </c>
      <c r="I103" s="6" t="s">
        <v>152</v>
      </c>
      <c r="J103" s="3" t="s">
        <v>25</v>
      </c>
      <c r="K103" s="3">
        <v>1</v>
      </c>
      <c r="L103" s="3">
        <v>2</v>
      </c>
      <c r="M103" s="3">
        <v>2</v>
      </c>
      <c r="N103" s="3">
        <v>1</v>
      </c>
      <c r="O103" s="4">
        <f t="shared" si="2"/>
        <v>6</v>
      </c>
      <c r="P103" s="3"/>
      <c r="Q103" s="6" t="str">
        <f t="shared" si="3"/>
        <v>OK</v>
      </c>
      <c r="R103" s="6" t="s">
        <v>153</v>
      </c>
    </row>
    <row r="104" spans="1:18" ht="33.950000000000003" customHeight="1" x14ac:dyDescent="0.25">
      <c r="A104" s="10">
        <v>103</v>
      </c>
      <c r="B104" s="2" t="s">
        <v>151</v>
      </c>
      <c r="C104" s="2" t="s">
        <v>134</v>
      </c>
      <c r="D104" s="2" t="s">
        <v>148</v>
      </c>
      <c r="E104" s="2" t="s">
        <v>22</v>
      </c>
      <c r="F104" s="10">
        <v>2</v>
      </c>
      <c r="G104" s="2" t="s">
        <v>31</v>
      </c>
      <c r="H104" s="7" t="str">
        <f>HYPERLINK("mast3r/outputs/llff_flower_scen_2/reconstruction.glb","mast3r/outputs/llff_flower_scen_2/reconstruction.glb")</f>
        <v>mast3r/outputs/llff_flower_scen_2/reconstruction.glb</v>
      </c>
      <c r="I104" s="6" t="s">
        <v>152</v>
      </c>
      <c r="J104" s="3" t="s">
        <v>25</v>
      </c>
      <c r="K104" s="3">
        <v>1</v>
      </c>
      <c r="L104" s="3">
        <v>2</v>
      </c>
      <c r="M104" s="3">
        <v>2</v>
      </c>
      <c r="N104" s="3">
        <v>1</v>
      </c>
      <c r="O104" s="4">
        <f t="shared" si="2"/>
        <v>6</v>
      </c>
      <c r="P104" s="3"/>
      <c r="Q104" s="6" t="str">
        <f t="shared" si="3"/>
        <v>OK</v>
      </c>
      <c r="R104" s="6" t="s">
        <v>153</v>
      </c>
    </row>
    <row r="105" spans="1:18" ht="33.950000000000003" customHeight="1" x14ac:dyDescent="0.25">
      <c r="A105" s="10">
        <v>104</v>
      </c>
      <c r="B105" s="2" t="s">
        <v>151</v>
      </c>
      <c r="C105" s="2" t="s">
        <v>134</v>
      </c>
      <c r="D105" s="2" t="s">
        <v>148</v>
      </c>
      <c r="E105" s="2" t="s">
        <v>22</v>
      </c>
      <c r="F105" s="10">
        <v>2</v>
      </c>
      <c r="G105" s="2" t="s">
        <v>27</v>
      </c>
      <c r="H105" s="7" t="str">
        <f>HYPERLINK("mapany/outputs/llff_flower_scen_2/reconstruction.glb","mapany/outputs/llff_flower_scen_2/reconstruction.glb")</f>
        <v>mapany/outputs/llff_flower_scen_2/reconstruction.glb</v>
      </c>
      <c r="I105" s="6" t="s">
        <v>152</v>
      </c>
      <c r="J105" s="3" t="s">
        <v>25</v>
      </c>
      <c r="K105" s="3">
        <v>2</v>
      </c>
      <c r="L105" s="3">
        <v>2</v>
      </c>
      <c r="M105" s="3">
        <v>1</v>
      </c>
      <c r="N105" s="3">
        <v>2</v>
      </c>
      <c r="O105" s="4">
        <f t="shared" si="2"/>
        <v>7</v>
      </c>
      <c r="P105" s="3"/>
      <c r="Q105" s="6" t="str">
        <f t="shared" si="3"/>
        <v>OK</v>
      </c>
      <c r="R105" s="6" t="s">
        <v>153</v>
      </c>
    </row>
    <row r="106" spans="1:18" ht="33.950000000000003" customHeight="1" x14ac:dyDescent="0.25">
      <c r="A106" s="10">
        <v>105</v>
      </c>
      <c r="B106" s="2" t="s">
        <v>154</v>
      </c>
      <c r="C106" s="2" t="s">
        <v>134</v>
      </c>
      <c r="D106" s="2" t="s">
        <v>148</v>
      </c>
      <c r="E106" s="2" t="s">
        <v>22</v>
      </c>
      <c r="F106" s="10">
        <v>4</v>
      </c>
      <c r="G106" s="2" t="s">
        <v>23</v>
      </c>
      <c r="H106" s="7" t="str">
        <f>HYPERLINK("vggt/outputs/llff_flower_scen_3/reconstruction.glb","vggt/outputs/llff_flower_scen_3/reconstruction.glb")</f>
        <v>vggt/outputs/llff_flower_scen_3/reconstruction.glb</v>
      </c>
      <c r="I106" s="6" t="s">
        <v>155</v>
      </c>
      <c r="J106" s="3" t="s">
        <v>25</v>
      </c>
      <c r="K106" s="3">
        <v>1</v>
      </c>
      <c r="L106" s="3">
        <v>1</v>
      </c>
      <c r="M106" s="3">
        <v>2</v>
      </c>
      <c r="N106" s="3">
        <v>1</v>
      </c>
      <c r="O106" s="4">
        <f t="shared" si="2"/>
        <v>5</v>
      </c>
      <c r="P106" s="3"/>
      <c r="Q106" s="6" t="str">
        <f t="shared" si="3"/>
        <v>OK</v>
      </c>
      <c r="R106" s="6" t="s">
        <v>156</v>
      </c>
    </row>
    <row r="107" spans="1:18" ht="33.950000000000003" customHeight="1" x14ac:dyDescent="0.25">
      <c r="A107" s="10">
        <v>106</v>
      </c>
      <c r="B107" s="2" t="s">
        <v>154</v>
      </c>
      <c r="C107" s="2" t="s">
        <v>134</v>
      </c>
      <c r="D107" s="2" t="s">
        <v>148</v>
      </c>
      <c r="E107" s="2" t="s">
        <v>22</v>
      </c>
      <c r="F107" s="10">
        <v>4</v>
      </c>
      <c r="G107" s="2" t="s">
        <v>31</v>
      </c>
      <c r="H107" s="7" t="str">
        <f>HYPERLINK("mast3r/outputs/llff_flower_scen_3/reconstruction.glb","mast3r/outputs/llff_flower_scen_3/reconstruction.glb")</f>
        <v>mast3r/outputs/llff_flower_scen_3/reconstruction.glb</v>
      </c>
      <c r="I107" s="6" t="s">
        <v>155</v>
      </c>
      <c r="J107" s="3" t="s">
        <v>25</v>
      </c>
      <c r="K107" s="3">
        <v>2</v>
      </c>
      <c r="L107" s="3">
        <v>2</v>
      </c>
      <c r="M107" s="3">
        <v>2</v>
      </c>
      <c r="N107" s="3">
        <v>2</v>
      </c>
      <c r="O107" s="4">
        <f t="shared" si="2"/>
        <v>8</v>
      </c>
      <c r="P107" s="3"/>
      <c r="Q107" s="6" t="str">
        <f t="shared" si="3"/>
        <v>OK</v>
      </c>
      <c r="R107" s="6" t="s">
        <v>156</v>
      </c>
    </row>
    <row r="108" spans="1:18" ht="33.950000000000003" customHeight="1" x14ac:dyDescent="0.25">
      <c r="A108" s="10">
        <v>107</v>
      </c>
      <c r="B108" s="2" t="s">
        <v>154</v>
      </c>
      <c r="C108" s="2" t="s">
        <v>134</v>
      </c>
      <c r="D108" s="2" t="s">
        <v>148</v>
      </c>
      <c r="E108" s="2" t="s">
        <v>22</v>
      </c>
      <c r="F108" s="10">
        <v>4</v>
      </c>
      <c r="G108" s="2" t="s">
        <v>27</v>
      </c>
      <c r="H108" s="7" t="str">
        <f>HYPERLINK("mapany/outputs/llff_flower_scen_3/reconstruction.glb","mapany/outputs/llff_flower_scen_3/reconstruction.glb")</f>
        <v>mapany/outputs/llff_flower_scen_3/reconstruction.glb</v>
      </c>
      <c r="I108" s="6" t="s">
        <v>155</v>
      </c>
      <c r="J108" s="3" t="s">
        <v>25</v>
      </c>
      <c r="K108" s="3">
        <v>2</v>
      </c>
      <c r="L108" s="3">
        <v>2</v>
      </c>
      <c r="M108" s="3">
        <v>2</v>
      </c>
      <c r="N108" s="3">
        <v>2</v>
      </c>
      <c r="O108" s="4">
        <f t="shared" si="2"/>
        <v>8</v>
      </c>
      <c r="P108" s="3"/>
      <c r="Q108" s="6" t="str">
        <f t="shared" si="3"/>
        <v>OK</v>
      </c>
      <c r="R108" s="6" t="s">
        <v>156</v>
      </c>
    </row>
    <row r="109" spans="1:18" ht="33.950000000000003" customHeight="1" x14ac:dyDescent="0.25">
      <c r="A109" s="10">
        <v>108</v>
      </c>
      <c r="B109" s="2" t="s">
        <v>157</v>
      </c>
      <c r="C109" s="2" t="s">
        <v>134</v>
      </c>
      <c r="D109" s="2" t="s">
        <v>148</v>
      </c>
      <c r="E109" s="2" t="s">
        <v>22</v>
      </c>
      <c r="F109" s="10">
        <v>8</v>
      </c>
      <c r="G109" s="2" t="s">
        <v>23</v>
      </c>
      <c r="H109" s="7" t="str">
        <f>HYPERLINK("vggt/outputs/llff_flower_scen_4/reconstruction.glb","vggt/outputs/llff_flower_scen_4/reconstruction.glb")</f>
        <v>vggt/outputs/llff_flower_scen_4/reconstruction.glb</v>
      </c>
      <c r="I109" s="6" t="s">
        <v>158</v>
      </c>
      <c r="J109" s="3" t="s">
        <v>25</v>
      </c>
      <c r="K109" s="3">
        <v>1</v>
      </c>
      <c r="L109" s="3">
        <v>1</v>
      </c>
      <c r="M109" s="3">
        <v>2</v>
      </c>
      <c r="N109" s="3">
        <v>1</v>
      </c>
      <c r="O109" s="4">
        <f t="shared" si="2"/>
        <v>5</v>
      </c>
      <c r="P109" s="3"/>
      <c r="Q109" s="6" t="str">
        <f t="shared" si="3"/>
        <v>OK</v>
      </c>
      <c r="R109" s="6" t="s">
        <v>159</v>
      </c>
    </row>
    <row r="110" spans="1:18" ht="33.950000000000003" customHeight="1" x14ac:dyDescent="0.25">
      <c r="A110" s="10">
        <v>109</v>
      </c>
      <c r="B110" s="2" t="s">
        <v>157</v>
      </c>
      <c r="C110" s="2" t="s">
        <v>134</v>
      </c>
      <c r="D110" s="2" t="s">
        <v>148</v>
      </c>
      <c r="E110" s="2" t="s">
        <v>22</v>
      </c>
      <c r="F110" s="10">
        <v>8</v>
      </c>
      <c r="G110" s="2" t="s">
        <v>31</v>
      </c>
      <c r="H110" s="7" t="str">
        <f>HYPERLINK("mast3r/outputs/llff_flower_scen_4/reconstruction.glb","mast3r/outputs/llff_flower_scen_4/reconstruction.glb")</f>
        <v>mast3r/outputs/llff_flower_scen_4/reconstruction.glb</v>
      </c>
      <c r="I110" s="6" t="s">
        <v>158</v>
      </c>
      <c r="J110" s="3" t="s">
        <v>25</v>
      </c>
      <c r="K110" s="3">
        <v>2</v>
      </c>
      <c r="L110" s="3">
        <v>2</v>
      </c>
      <c r="M110" s="3">
        <v>2</v>
      </c>
      <c r="N110" s="3">
        <v>2</v>
      </c>
      <c r="O110" s="4">
        <f t="shared" si="2"/>
        <v>8</v>
      </c>
      <c r="P110" s="3"/>
      <c r="Q110" s="6" t="str">
        <f t="shared" si="3"/>
        <v>OK</v>
      </c>
      <c r="R110" s="6" t="s">
        <v>159</v>
      </c>
    </row>
    <row r="111" spans="1:18" ht="33.950000000000003" customHeight="1" x14ac:dyDescent="0.25">
      <c r="A111" s="10">
        <v>110</v>
      </c>
      <c r="B111" s="2" t="s">
        <v>157</v>
      </c>
      <c r="C111" s="2" t="s">
        <v>134</v>
      </c>
      <c r="D111" s="2" t="s">
        <v>148</v>
      </c>
      <c r="E111" s="2" t="s">
        <v>22</v>
      </c>
      <c r="F111" s="10">
        <v>8</v>
      </c>
      <c r="G111" s="2" t="s">
        <v>27</v>
      </c>
      <c r="H111" s="7" t="str">
        <f>HYPERLINK("mapany/outputs/llff_flower_scen_4/reconstruction.glb","mapany/outputs/llff_flower_scen_4/reconstruction.glb")</f>
        <v>mapany/outputs/llff_flower_scen_4/reconstruction.glb</v>
      </c>
      <c r="I111" s="6" t="s">
        <v>158</v>
      </c>
      <c r="J111" s="3" t="s">
        <v>25</v>
      </c>
      <c r="K111" s="3">
        <v>2</v>
      </c>
      <c r="L111" s="3">
        <v>2</v>
      </c>
      <c r="M111" s="3">
        <v>2</v>
      </c>
      <c r="N111" s="3">
        <v>2</v>
      </c>
      <c r="O111" s="4">
        <f t="shared" si="2"/>
        <v>8</v>
      </c>
      <c r="P111" s="3"/>
      <c r="Q111" s="6" t="str">
        <f t="shared" si="3"/>
        <v>OK</v>
      </c>
      <c r="R111" s="6" t="s">
        <v>159</v>
      </c>
    </row>
    <row r="112" spans="1:18" ht="33.950000000000003" customHeight="1" x14ac:dyDescent="0.25">
      <c r="A112" s="10">
        <v>111</v>
      </c>
      <c r="B112" s="2" t="s">
        <v>160</v>
      </c>
      <c r="C112" s="2" t="s">
        <v>134</v>
      </c>
      <c r="D112" s="2" t="s">
        <v>161</v>
      </c>
      <c r="E112" s="2" t="s">
        <v>162</v>
      </c>
      <c r="F112" s="10">
        <v>1</v>
      </c>
      <c r="G112" s="2" t="s">
        <v>23</v>
      </c>
      <c r="H112" s="7" t="str">
        <f>HYPERLINK("vggt/outputs/llff_fortress_scen_1/reconstruction.glb","vggt/outputs/llff_fortress_scen_1/reconstruction.glb")</f>
        <v>vggt/outputs/llff_fortress_scen_1/reconstruction.glb</v>
      </c>
      <c r="I112" s="6" t="s">
        <v>163</v>
      </c>
      <c r="J112" s="3" t="s">
        <v>25</v>
      </c>
      <c r="K112" s="3">
        <v>2</v>
      </c>
      <c r="L112" s="3">
        <v>2</v>
      </c>
      <c r="M112" s="3">
        <v>3</v>
      </c>
      <c r="N112" s="3">
        <v>1</v>
      </c>
      <c r="O112" s="4">
        <f t="shared" si="2"/>
        <v>8</v>
      </c>
      <c r="P112" s="3"/>
      <c r="Q112" s="6" t="str">
        <f t="shared" si="3"/>
        <v>OK</v>
      </c>
      <c r="R112" s="6" t="s">
        <v>164</v>
      </c>
    </row>
    <row r="113" spans="1:18" ht="33.950000000000003" customHeight="1" x14ac:dyDescent="0.25">
      <c r="A113" s="10">
        <v>112</v>
      </c>
      <c r="B113" s="2" t="s">
        <v>160</v>
      </c>
      <c r="C113" s="2" t="s">
        <v>134</v>
      </c>
      <c r="D113" s="2" t="s">
        <v>161</v>
      </c>
      <c r="E113" s="2" t="s">
        <v>162</v>
      </c>
      <c r="F113" s="10">
        <v>1</v>
      </c>
      <c r="G113" s="2" t="s">
        <v>27</v>
      </c>
      <c r="H113" s="7" t="str">
        <f>HYPERLINK("mapany/outputs/llff_fortress_scen_1/reconstruction.glb","mapany/outputs/llff_fortress_scen_1/reconstruction.glb")</f>
        <v>mapany/outputs/llff_fortress_scen_1/reconstruction.glb</v>
      </c>
      <c r="I113" s="6" t="s">
        <v>163</v>
      </c>
      <c r="J113" s="3" t="s">
        <v>25</v>
      </c>
      <c r="K113" s="3">
        <v>3</v>
      </c>
      <c r="L113" s="3">
        <v>2</v>
      </c>
      <c r="M113" s="3">
        <v>3</v>
      </c>
      <c r="N113" s="3">
        <v>1</v>
      </c>
      <c r="O113" s="4">
        <f t="shared" si="2"/>
        <v>9</v>
      </c>
      <c r="P113" s="3"/>
      <c r="Q113" s="6" t="str">
        <f t="shared" si="3"/>
        <v>OK</v>
      </c>
      <c r="R113" s="6" t="s">
        <v>164</v>
      </c>
    </row>
    <row r="114" spans="1:18" ht="33.950000000000003" customHeight="1" x14ac:dyDescent="0.25">
      <c r="A114" s="10">
        <v>113</v>
      </c>
      <c r="B114" s="2" t="s">
        <v>165</v>
      </c>
      <c r="C114" s="2" t="s">
        <v>134</v>
      </c>
      <c r="D114" s="2" t="s">
        <v>161</v>
      </c>
      <c r="E114" s="2" t="s">
        <v>162</v>
      </c>
      <c r="F114" s="10">
        <v>2</v>
      </c>
      <c r="G114" s="2" t="s">
        <v>23</v>
      </c>
      <c r="H114" s="7" t="str">
        <f>HYPERLINK("vggt/outputs/llff_fortress_scen_2/reconstruction.glb","vggt/outputs/llff_fortress_scen_2/reconstruction.glb")</f>
        <v>vggt/outputs/llff_fortress_scen_2/reconstruction.glb</v>
      </c>
      <c r="I114" s="6" t="s">
        <v>166</v>
      </c>
      <c r="J114" s="3" t="s">
        <v>25</v>
      </c>
      <c r="K114" s="3">
        <v>1</v>
      </c>
      <c r="L114" s="3">
        <v>1</v>
      </c>
      <c r="M114" s="3">
        <v>2</v>
      </c>
      <c r="N114" s="3">
        <v>1</v>
      </c>
      <c r="O114" s="4">
        <f t="shared" si="2"/>
        <v>5</v>
      </c>
      <c r="P114" s="3"/>
      <c r="Q114" s="6" t="str">
        <f t="shared" si="3"/>
        <v>OK</v>
      </c>
      <c r="R114" s="6" t="s">
        <v>167</v>
      </c>
    </row>
    <row r="115" spans="1:18" ht="33.950000000000003" customHeight="1" x14ac:dyDescent="0.25">
      <c r="A115" s="10">
        <v>114</v>
      </c>
      <c r="B115" s="2" t="s">
        <v>165</v>
      </c>
      <c r="C115" s="2" t="s">
        <v>134</v>
      </c>
      <c r="D115" s="2" t="s">
        <v>161</v>
      </c>
      <c r="E115" s="2" t="s">
        <v>162</v>
      </c>
      <c r="F115" s="10">
        <v>2</v>
      </c>
      <c r="G115" s="2" t="s">
        <v>31</v>
      </c>
      <c r="H115" s="7" t="str">
        <f>HYPERLINK("mast3r/outputs/llff_fortress_scen_2/reconstruction.glb","mast3r/outputs/llff_fortress_scen_2/reconstruction.glb")</f>
        <v>mast3r/outputs/llff_fortress_scen_2/reconstruction.glb</v>
      </c>
      <c r="I115" s="6" t="s">
        <v>166</v>
      </c>
      <c r="J115" s="3" t="s">
        <v>25</v>
      </c>
      <c r="K115" s="3">
        <v>1</v>
      </c>
      <c r="L115" s="3">
        <v>1</v>
      </c>
      <c r="M115" s="3">
        <v>3</v>
      </c>
      <c r="N115" s="3">
        <v>1</v>
      </c>
      <c r="O115" s="4">
        <f t="shared" si="2"/>
        <v>6</v>
      </c>
      <c r="P115" s="3"/>
      <c r="Q115" s="6" t="str">
        <f t="shared" si="3"/>
        <v>OK</v>
      </c>
      <c r="R115" s="6" t="s">
        <v>167</v>
      </c>
    </row>
    <row r="116" spans="1:18" ht="33.950000000000003" customHeight="1" x14ac:dyDescent="0.25">
      <c r="A116" s="10">
        <v>115</v>
      </c>
      <c r="B116" s="2" t="s">
        <v>165</v>
      </c>
      <c r="C116" s="2" t="s">
        <v>134</v>
      </c>
      <c r="D116" s="2" t="s">
        <v>161</v>
      </c>
      <c r="E116" s="2" t="s">
        <v>162</v>
      </c>
      <c r="F116" s="10">
        <v>2</v>
      </c>
      <c r="G116" s="2" t="s">
        <v>27</v>
      </c>
      <c r="H116" s="7" t="str">
        <f>HYPERLINK("mapany/outputs/llff_fortress_scen_2/reconstruction.glb","mapany/outputs/llff_fortress_scen_2/reconstruction.glb")</f>
        <v>mapany/outputs/llff_fortress_scen_2/reconstruction.glb</v>
      </c>
      <c r="I116" s="6" t="s">
        <v>166</v>
      </c>
      <c r="J116" s="3" t="s">
        <v>25</v>
      </c>
      <c r="K116" s="3">
        <v>2</v>
      </c>
      <c r="L116" s="3">
        <v>1</v>
      </c>
      <c r="M116" s="3">
        <v>3</v>
      </c>
      <c r="N116" s="3">
        <v>1</v>
      </c>
      <c r="O116" s="4">
        <f t="shared" si="2"/>
        <v>7</v>
      </c>
      <c r="P116" s="3"/>
      <c r="Q116" s="6" t="str">
        <f t="shared" si="3"/>
        <v>OK</v>
      </c>
      <c r="R116" s="6" t="s">
        <v>167</v>
      </c>
    </row>
    <row r="117" spans="1:18" ht="33.950000000000003" customHeight="1" x14ac:dyDescent="0.25">
      <c r="A117" s="10">
        <v>116</v>
      </c>
      <c r="B117" s="2" t="s">
        <v>168</v>
      </c>
      <c r="C117" s="2" t="s">
        <v>134</v>
      </c>
      <c r="D117" s="2" t="s">
        <v>161</v>
      </c>
      <c r="E117" s="2" t="s">
        <v>162</v>
      </c>
      <c r="F117" s="10">
        <v>4</v>
      </c>
      <c r="G117" s="2" t="s">
        <v>23</v>
      </c>
      <c r="H117" s="7" t="str">
        <f>HYPERLINK("vggt/outputs/llff_fortress_scen_3/reconstruction.glb","vggt/outputs/llff_fortress_scen_3/reconstruction.glb")</f>
        <v>vggt/outputs/llff_fortress_scen_3/reconstruction.glb</v>
      </c>
      <c r="I117" s="6" t="s">
        <v>169</v>
      </c>
      <c r="J117" s="3" t="s">
        <v>25</v>
      </c>
      <c r="K117" s="3">
        <v>1</v>
      </c>
      <c r="L117" s="3">
        <v>2</v>
      </c>
      <c r="M117" s="3">
        <v>3</v>
      </c>
      <c r="N117" s="3">
        <v>1</v>
      </c>
      <c r="O117" s="4">
        <f t="shared" si="2"/>
        <v>7</v>
      </c>
      <c r="P117" s="3"/>
      <c r="Q117" s="6" t="str">
        <f t="shared" si="3"/>
        <v>OK</v>
      </c>
      <c r="R117" s="6" t="s">
        <v>170</v>
      </c>
    </row>
    <row r="118" spans="1:18" ht="33.950000000000003" customHeight="1" x14ac:dyDescent="0.25">
      <c r="A118" s="10">
        <v>117</v>
      </c>
      <c r="B118" s="2" t="s">
        <v>168</v>
      </c>
      <c r="C118" s="2" t="s">
        <v>134</v>
      </c>
      <c r="D118" s="2" t="s">
        <v>161</v>
      </c>
      <c r="E118" s="2" t="s">
        <v>162</v>
      </c>
      <c r="F118" s="10">
        <v>4</v>
      </c>
      <c r="G118" s="2" t="s">
        <v>31</v>
      </c>
      <c r="H118" s="7" t="str">
        <f>HYPERLINK("mast3r/outputs/llff_fortress_scen_3/reconstruction.glb","mast3r/outputs/llff_fortress_scen_3/reconstruction.glb")</f>
        <v>mast3r/outputs/llff_fortress_scen_3/reconstruction.glb</v>
      </c>
      <c r="I118" s="6" t="s">
        <v>169</v>
      </c>
      <c r="J118" s="3" t="s">
        <v>25</v>
      </c>
      <c r="K118" s="3">
        <v>1</v>
      </c>
      <c r="L118" s="3">
        <v>1</v>
      </c>
      <c r="M118" s="3">
        <v>3</v>
      </c>
      <c r="N118" s="3">
        <v>1</v>
      </c>
      <c r="O118" s="4">
        <f t="shared" si="2"/>
        <v>6</v>
      </c>
      <c r="P118" s="3"/>
      <c r="Q118" s="6" t="str">
        <f t="shared" si="3"/>
        <v>OK</v>
      </c>
      <c r="R118" s="6" t="s">
        <v>170</v>
      </c>
    </row>
    <row r="119" spans="1:18" ht="33.950000000000003" customHeight="1" x14ac:dyDescent="0.25">
      <c r="A119" s="10">
        <v>118</v>
      </c>
      <c r="B119" s="2" t="s">
        <v>168</v>
      </c>
      <c r="C119" s="2" t="s">
        <v>134</v>
      </c>
      <c r="D119" s="2" t="s">
        <v>161</v>
      </c>
      <c r="E119" s="2" t="s">
        <v>162</v>
      </c>
      <c r="F119" s="10">
        <v>4</v>
      </c>
      <c r="G119" s="2" t="s">
        <v>27</v>
      </c>
      <c r="H119" s="7" t="str">
        <f>HYPERLINK("mapany/outputs/llff_fortress_scen_3/reconstruction.glb","mapany/outputs/llff_fortress_scen_3/reconstruction.glb")</f>
        <v>mapany/outputs/llff_fortress_scen_3/reconstruction.glb</v>
      </c>
      <c r="I119" s="6" t="s">
        <v>169</v>
      </c>
      <c r="J119" s="3" t="s">
        <v>25</v>
      </c>
      <c r="K119" s="3">
        <v>2</v>
      </c>
      <c r="L119" s="3">
        <v>2</v>
      </c>
      <c r="M119" s="3">
        <v>3</v>
      </c>
      <c r="N119" s="3">
        <v>2</v>
      </c>
      <c r="O119" s="4">
        <f t="shared" si="2"/>
        <v>9</v>
      </c>
      <c r="P119" s="3"/>
      <c r="Q119" s="6" t="str">
        <f t="shared" si="3"/>
        <v>OK</v>
      </c>
      <c r="R119" s="6" t="s">
        <v>170</v>
      </c>
    </row>
    <row r="120" spans="1:18" ht="33.950000000000003" customHeight="1" x14ac:dyDescent="0.25">
      <c r="A120" s="10">
        <v>119</v>
      </c>
      <c r="B120" s="2" t="s">
        <v>171</v>
      </c>
      <c r="C120" s="2" t="s">
        <v>134</v>
      </c>
      <c r="D120" s="2" t="s">
        <v>161</v>
      </c>
      <c r="E120" s="2" t="s">
        <v>162</v>
      </c>
      <c r="F120" s="10">
        <v>8</v>
      </c>
      <c r="G120" s="2" t="s">
        <v>23</v>
      </c>
      <c r="H120" s="7" t="str">
        <f>HYPERLINK("vggt/outputs/llff_fortress_scen_4/reconstruction.glb","vggt/outputs/llff_fortress_scen_4/reconstruction.glb")</f>
        <v>vggt/outputs/llff_fortress_scen_4/reconstruction.glb</v>
      </c>
      <c r="I120" s="6" t="s">
        <v>172</v>
      </c>
      <c r="J120" s="3" t="s">
        <v>25</v>
      </c>
      <c r="K120" s="3">
        <v>2</v>
      </c>
      <c r="L120" s="3">
        <v>2</v>
      </c>
      <c r="M120" s="3">
        <v>2</v>
      </c>
      <c r="N120" s="3">
        <v>2</v>
      </c>
      <c r="O120" s="4">
        <f t="shared" si="2"/>
        <v>8</v>
      </c>
      <c r="P120" s="3"/>
      <c r="Q120" s="6" t="str">
        <f t="shared" si="3"/>
        <v>OK</v>
      </c>
      <c r="R120" s="6" t="s">
        <v>173</v>
      </c>
    </row>
    <row r="121" spans="1:18" ht="33.950000000000003" customHeight="1" x14ac:dyDescent="0.25">
      <c r="A121" s="10">
        <v>120</v>
      </c>
      <c r="B121" s="2" t="s">
        <v>171</v>
      </c>
      <c r="C121" s="2" t="s">
        <v>134</v>
      </c>
      <c r="D121" s="2" t="s">
        <v>161</v>
      </c>
      <c r="E121" s="2" t="s">
        <v>162</v>
      </c>
      <c r="F121" s="10">
        <v>8</v>
      </c>
      <c r="G121" s="2" t="s">
        <v>31</v>
      </c>
      <c r="H121" s="7" t="str">
        <f>HYPERLINK("mast3r/outputs/llff_fortress_scen_4/reconstruction.glb","mast3r/outputs/llff_fortress_scen_4/reconstruction.glb")</f>
        <v>mast3r/outputs/llff_fortress_scen_4/reconstruction.glb</v>
      </c>
      <c r="I121" s="6" t="s">
        <v>172</v>
      </c>
      <c r="J121" s="3" t="s">
        <v>25</v>
      </c>
      <c r="K121" s="3">
        <v>2</v>
      </c>
      <c r="L121" s="3">
        <v>2</v>
      </c>
      <c r="M121" s="3">
        <v>3</v>
      </c>
      <c r="N121" s="3">
        <v>2</v>
      </c>
      <c r="O121" s="4">
        <f t="shared" si="2"/>
        <v>9</v>
      </c>
      <c r="P121" s="3"/>
      <c r="Q121" s="6" t="str">
        <f t="shared" si="3"/>
        <v>OK</v>
      </c>
      <c r="R121" s="6" t="s">
        <v>173</v>
      </c>
    </row>
    <row r="122" spans="1:18" ht="33.950000000000003" customHeight="1" x14ac:dyDescent="0.25">
      <c r="A122" s="10">
        <v>121</v>
      </c>
      <c r="B122" s="2" t="s">
        <v>171</v>
      </c>
      <c r="C122" s="2" t="s">
        <v>134</v>
      </c>
      <c r="D122" s="2" t="s">
        <v>161</v>
      </c>
      <c r="E122" s="2" t="s">
        <v>162</v>
      </c>
      <c r="F122" s="10">
        <v>8</v>
      </c>
      <c r="G122" s="2" t="s">
        <v>27</v>
      </c>
      <c r="H122" s="7" t="str">
        <f>HYPERLINK("mapany/outputs/llff_fortress_scen_4/reconstruction.glb","mapany/outputs/llff_fortress_scen_4/reconstruction.glb")</f>
        <v>mapany/outputs/llff_fortress_scen_4/reconstruction.glb</v>
      </c>
      <c r="I122" s="6" t="s">
        <v>172</v>
      </c>
      <c r="J122" s="3" t="s">
        <v>25</v>
      </c>
      <c r="K122" s="3">
        <v>3</v>
      </c>
      <c r="L122" s="3">
        <v>2</v>
      </c>
      <c r="M122" s="3">
        <v>2</v>
      </c>
      <c r="N122" s="3">
        <v>2</v>
      </c>
      <c r="O122" s="4">
        <f t="shared" si="2"/>
        <v>9</v>
      </c>
      <c r="P122" s="3"/>
      <c r="Q122" s="6" t="str">
        <f t="shared" si="3"/>
        <v>OK</v>
      </c>
      <c r="R122" s="6" t="s">
        <v>173</v>
      </c>
    </row>
    <row r="123" spans="1:18" ht="33.950000000000003" customHeight="1" x14ac:dyDescent="0.25">
      <c r="A123" s="10">
        <v>122</v>
      </c>
      <c r="B123" s="2" t="s">
        <v>174</v>
      </c>
      <c r="C123" s="2" t="s">
        <v>67</v>
      </c>
      <c r="D123" s="2" t="s">
        <v>175</v>
      </c>
      <c r="E123" s="2" t="s">
        <v>40</v>
      </c>
      <c r="F123" s="10">
        <v>1</v>
      </c>
      <c r="G123" s="2" t="s">
        <v>23</v>
      </c>
      <c r="H123" s="7" t="str">
        <f>HYPERLINK("vggt/outputs/custom_gate_scen_1/reconstruction.glb","vggt/outputs/custom_gate_scen_1/reconstruction.glb")</f>
        <v>vggt/outputs/custom_gate_scen_1/reconstruction.glb</v>
      </c>
      <c r="I123" s="6" t="s">
        <v>176</v>
      </c>
      <c r="J123" s="3" t="s">
        <v>25</v>
      </c>
      <c r="K123" s="3">
        <v>0</v>
      </c>
      <c r="L123" s="3">
        <v>2</v>
      </c>
      <c r="M123" s="3">
        <v>3</v>
      </c>
      <c r="N123" s="3">
        <v>1</v>
      </c>
      <c r="O123" s="4">
        <f t="shared" si="2"/>
        <v>6</v>
      </c>
      <c r="P123" s="3"/>
      <c r="Q123" s="6" t="str">
        <f t="shared" si="3"/>
        <v>OK</v>
      </c>
      <c r="R123" s="6" t="s">
        <v>177</v>
      </c>
    </row>
    <row r="124" spans="1:18" ht="33.950000000000003" customHeight="1" x14ac:dyDescent="0.25">
      <c r="A124" s="10">
        <v>123</v>
      </c>
      <c r="B124" s="2" t="s">
        <v>174</v>
      </c>
      <c r="C124" s="2" t="s">
        <v>67</v>
      </c>
      <c r="D124" s="2" t="s">
        <v>175</v>
      </c>
      <c r="E124" s="2" t="s">
        <v>40</v>
      </c>
      <c r="F124" s="10">
        <v>1</v>
      </c>
      <c r="G124" s="2" t="s">
        <v>27</v>
      </c>
      <c r="H124" s="7" t="str">
        <f>HYPERLINK("mapany/outputs/custom_gate_scen_1/reconstruction.glb","mapany/outputs/custom_gate_scen_1/reconstruction.glb")</f>
        <v>mapany/outputs/custom_gate_scen_1/reconstruction.glb</v>
      </c>
      <c r="I124" s="6" t="s">
        <v>176</v>
      </c>
      <c r="J124" s="3" t="s">
        <v>25</v>
      </c>
      <c r="K124" s="3">
        <v>3</v>
      </c>
      <c r="L124" s="3">
        <v>3</v>
      </c>
      <c r="M124" s="3">
        <v>2</v>
      </c>
      <c r="N124" s="3">
        <v>3</v>
      </c>
      <c r="O124" s="4">
        <f t="shared" si="2"/>
        <v>11</v>
      </c>
      <c r="P124" s="3"/>
      <c r="Q124" s="6" t="str">
        <f t="shared" si="3"/>
        <v>OK</v>
      </c>
      <c r="R124" s="6" t="s">
        <v>177</v>
      </c>
    </row>
    <row r="125" spans="1:18" ht="33.950000000000003" customHeight="1" x14ac:dyDescent="0.25">
      <c r="A125" s="10">
        <v>124</v>
      </c>
      <c r="B125" s="2" t="s">
        <v>178</v>
      </c>
      <c r="C125" s="2" t="s">
        <v>67</v>
      </c>
      <c r="D125" s="2" t="s">
        <v>175</v>
      </c>
      <c r="E125" s="2" t="s">
        <v>40</v>
      </c>
      <c r="F125" s="10">
        <v>2</v>
      </c>
      <c r="G125" s="2" t="s">
        <v>23</v>
      </c>
      <c r="H125" s="7" t="str">
        <f>HYPERLINK("vggt/outputs/custom_gate_scen_2/reconstruction.glb","vggt/outputs/custom_gate_scen_2/reconstruction.glb")</f>
        <v>vggt/outputs/custom_gate_scen_2/reconstruction.glb</v>
      </c>
      <c r="I125" s="6" t="s">
        <v>179</v>
      </c>
      <c r="J125" s="3" t="s">
        <v>25</v>
      </c>
      <c r="K125" s="3">
        <v>1</v>
      </c>
      <c r="L125" s="3">
        <v>2</v>
      </c>
      <c r="M125" s="3">
        <v>2</v>
      </c>
      <c r="N125" s="3">
        <v>1</v>
      </c>
      <c r="O125" s="4">
        <f t="shared" si="2"/>
        <v>6</v>
      </c>
      <c r="P125" s="3"/>
      <c r="Q125" s="6" t="str">
        <f t="shared" si="3"/>
        <v>OK</v>
      </c>
      <c r="R125" s="6" t="s">
        <v>180</v>
      </c>
    </row>
    <row r="126" spans="1:18" ht="33.950000000000003" customHeight="1" x14ac:dyDescent="0.25">
      <c r="A126" s="10">
        <v>125</v>
      </c>
      <c r="B126" s="2" t="s">
        <v>178</v>
      </c>
      <c r="C126" s="2" t="s">
        <v>67</v>
      </c>
      <c r="D126" s="2" t="s">
        <v>175</v>
      </c>
      <c r="E126" s="2" t="s">
        <v>40</v>
      </c>
      <c r="F126" s="10">
        <v>2</v>
      </c>
      <c r="G126" s="2" t="s">
        <v>31</v>
      </c>
      <c r="H126" s="7" t="str">
        <f>HYPERLINK("mast3r/outputs/custom_gate_scen_2/reconstruction.glb","mast3r/outputs/custom_gate_scen_2/reconstruction.glb")</f>
        <v>mast3r/outputs/custom_gate_scen_2/reconstruction.glb</v>
      </c>
      <c r="I126" s="6" t="s">
        <v>179</v>
      </c>
      <c r="J126" s="3" t="s">
        <v>25</v>
      </c>
      <c r="K126" s="3">
        <v>2</v>
      </c>
      <c r="L126" s="3">
        <v>3</v>
      </c>
      <c r="M126" s="3">
        <v>3</v>
      </c>
      <c r="N126" s="3">
        <v>2</v>
      </c>
      <c r="O126" s="4">
        <f t="shared" si="2"/>
        <v>10</v>
      </c>
      <c r="P126" s="3"/>
      <c r="Q126" s="6" t="str">
        <f t="shared" si="3"/>
        <v>OK</v>
      </c>
      <c r="R126" s="6" t="s">
        <v>180</v>
      </c>
    </row>
    <row r="127" spans="1:18" ht="33.950000000000003" customHeight="1" x14ac:dyDescent="0.25">
      <c r="A127" s="10">
        <v>126</v>
      </c>
      <c r="B127" s="2" t="s">
        <v>178</v>
      </c>
      <c r="C127" s="2" t="s">
        <v>67</v>
      </c>
      <c r="D127" s="2" t="s">
        <v>175</v>
      </c>
      <c r="E127" s="2" t="s">
        <v>40</v>
      </c>
      <c r="F127" s="10">
        <v>2</v>
      </c>
      <c r="G127" s="2" t="s">
        <v>27</v>
      </c>
      <c r="H127" s="7" t="str">
        <f>HYPERLINK("mapany/outputs/custom_gate_scen_2/reconstruction.glb","mapany/outputs/custom_gate_scen_2/reconstruction.glb")</f>
        <v>mapany/outputs/custom_gate_scen_2/reconstruction.glb</v>
      </c>
      <c r="I127" s="6" t="s">
        <v>179</v>
      </c>
      <c r="J127" s="3" t="s">
        <v>25</v>
      </c>
      <c r="K127" s="3">
        <v>3</v>
      </c>
      <c r="L127" s="3">
        <v>3</v>
      </c>
      <c r="M127" s="3">
        <v>2</v>
      </c>
      <c r="N127" s="3">
        <v>3</v>
      </c>
      <c r="O127" s="4">
        <f t="shared" si="2"/>
        <v>11</v>
      </c>
      <c r="P127" s="3"/>
      <c r="Q127" s="6" t="str">
        <f t="shared" si="3"/>
        <v>OK</v>
      </c>
      <c r="R127" s="6" t="s">
        <v>180</v>
      </c>
    </row>
    <row r="128" spans="1:18" ht="33.950000000000003" customHeight="1" x14ac:dyDescent="0.25">
      <c r="A128" s="10">
        <v>127</v>
      </c>
      <c r="B128" s="2" t="s">
        <v>181</v>
      </c>
      <c r="C128" s="2" t="s">
        <v>67</v>
      </c>
      <c r="D128" s="2" t="s">
        <v>175</v>
      </c>
      <c r="E128" s="2" t="s">
        <v>40</v>
      </c>
      <c r="F128" s="10">
        <v>4</v>
      </c>
      <c r="G128" s="2" t="s">
        <v>23</v>
      </c>
      <c r="H128" s="7" t="str">
        <f>HYPERLINK("vggt/outputs/custom_gate_scen_3/reconstruction.glb","vggt/outputs/custom_gate_scen_3/reconstruction.glb")</f>
        <v>vggt/outputs/custom_gate_scen_3/reconstruction.glb</v>
      </c>
      <c r="I128" s="6" t="s">
        <v>182</v>
      </c>
      <c r="J128" s="3" t="s">
        <v>25</v>
      </c>
      <c r="K128" s="3">
        <v>1</v>
      </c>
      <c r="L128" s="3">
        <v>3</v>
      </c>
      <c r="M128" s="3">
        <v>2</v>
      </c>
      <c r="N128" s="3">
        <v>1</v>
      </c>
      <c r="O128" s="4">
        <f t="shared" si="2"/>
        <v>7</v>
      </c>
      <c r="P128" s="3"/>
      <c r="Q128" s="6" t="str">
        <f t="shared" si="3"/>
        <v>OK</v>
      </c>
      <c r="R128" s="6" t="s">
        <v>183</v>
      </c>
    </row>
    <row r="129" spans="1:18" ht="33.950000000000003" customHeight="1" x14ac:dyDescent="0.25">
      <c r="A129" s="10">
        <v>128</v>
      </c>
      <c r="B129" s="2" t="s">
        <v>181</v>
      </c>
      <c r="C129" s="2" t="s">
        <v>67</v>
      </c>
      <c r="D129" s="2" t="s">
        <v>175</v>
      </c>
      <c r="E129" s="2" t="s">
        <v>40</v>
      </c>
      <c r="F129" s="10">
        <v>4</v>
      </c>
      <c r="G129" s="2" t="s">
        <v>31</v>
      </c>
      <c r="H129" s="7" t="str">
        <f>HYPERLINK("mast3r/outputs/custom_gate_scen_3/reconstruction.glb","mast3r/outputs/custom_gate_scen_3/reconstruction.glb")</f>
        <v>mast3r/outputs/custom_gate_scen_3/reconstruction.glb</v>
      </c>
      <c r="I129" s="6" t="s">
        <v>182</v>
      </c>
      <c r="J129" s="3" t="s">
        <v>25</v>
      </c>
      <c r="K129" s="3">
        <v>2</v>
      </c>
      <c r="L129" s="3">
        <v>3</v>
      </c>
      <c r="M129" s="3">
        <v>2</v>
      </c>
      <c r="N129" s="3">
        <v>2</v>
      </c>
      <c r="O129" s="4">
        <f t="shared" si="2"/>
        <v>9</v>
      </c>
      <c r="P129" s="3"/>
      <c r="Q129" s="6" t="str">
        <f t="shared" si="3"/>
        <v>OK</v>
      </c>
      <c r="R129" s="6" t="s">
        <v>183</v>
      </c>
    </row>
    <row r="130" spans="1:18" ht="33.950000000000003" customHeight="1" x14ac:dyDescent="0.25">
      <c r="A130" s="10">
        <v>129</v>
      </c>
      <c r="B130" s="2" t="s">
        <v>181</v>
      </c>
      <c r="C130" s="2" t="s">
        <v>67</v>
      </c>
      <c r="D130" s="2" t="s">
        <v>175</v>
      </c>
      <c r="E130" s="2" t="s">
        <v>40</v>
      </c>
      <c r="F130" s="10">
        <v>4</v>
      </c>
      <c r="G130" s="2" t="s">
        <v>27</v>
      </c>
      <c r="H130" s="7" t="str">
        <f>HYPERLINK("mapany/outputs/custom_gate_scen_3/reconstruction.glb","mapany/outputs/custom_gate_scen_3/reconstruction.glb")</f>
        <v>mapany/outputs/custom_gate_scen_3/reconstruction.glb</v>
      </c>
      <c r="I130" s="6" t="s">
        <v>182</v>
      </c>
      <c r="J130" s="3" t="s">
        <v>25</v>
      </c>
      <c r="K130" s="3">
        <v>3</v>
      </c>
      <c r="L130" s="3">
        <v>2</v>
      </c>
      <c r="M130" s="3">
        <v>2</v>
      </c>
      <c r="N130" s="3">
        <v>3</v>
      </c>
      <c r="O130" s="4">
        <f t="shared" ref="O130:O193" si="4">IF($J130="Niepowodzenie rekonstrukcji",0,IF(COUNT($K130:$N130)=4,SUM($K130:$N130),""))</f>
        <v>10</v>
      </c>
      <c r="P130" s="3"/>
      <c r="Q130" s="6" t="str">
        <f t="shared" ref="Q130:Q193" si="5">IF($J130="Niepowodzenie rekonstrukcji",IF(COUNTIF($K130:$N130,0)=4,"OK","Ustaw C, G, A, D = 0"),IF(COUNT($K130:$N130)=0,"Nieoceniony",IF(COUNT($K130:$N130)=4,"OK","Uzupełnij oceny")))</f>
        <v>OK</v>
      </c>
      <c r="R130" s="6" t="s">
        <v>183</v>
      </c>
    </row>
    <row r="131" spans="1:18" ht="33.950000000000003" customHeight="1" x14ac:dyDescent="0.25">
      <c r="A131" s="10">
        <v>130</v>
      </c>
      <c r="B131" s="2" t="s">
        <v>184</v>
      </c>
      <c r="C131" s="2" t="s">
        <v>67</v>
      </c>
      <c r="D131" s="2" t="s">
        <v>175</v>
      </c>
      <c r="E131" s="2" t="s">
        <v>40</v>
      </c>
      <c r="F131" s="10">
        <v>8</v>
      </c>
      <c r="G131" s="2" t="s">
        <v>23</v>
      </c>
      <c r="H131" s="7" t="str">
        <f>HYPERLINK("vggt/outputs/custom_gate_scen_4/reconstruction.glb","vggt/outputs/custom_gate_scen_4/reconstruction.glb")</f>
        <v>vggt/outputs/custom_gate_scen_4/reconstruction.glb</v>
      </c>
      <c r="I131" s="6" t="s">
        <v>185</v>
      </c>
      <c r="J131" s="3" t="s">
        <v>25</v>
      </c>
      <c r="K131" s="3">
        <v>1</v>
      </c>
      <c r="L131" s="3">
        <v>3</v>
      </c>
      <c r="M131" s="3">
        <v>3</v>
      </c>
      <c r="N131" s="3">
        <v>1</v>
      </c>
      <c r="O131" s="4">
        <f t="shared" si="4"/>
        <v>8</v>
      </c>
      <c r="P131" s="3"/>
      <c r="Q131" s="6" t="str">
        <f t="shared" si="5"/>
        <v>OK</v>
      </c>
      <c r="R131" s="6" t="s">
        <v>186</v>
      </c>
    </row>
    <row r="132" spans="1:18" ht="33.950000000000003" customHeight="1" x14ac:dyDescent="0.25">
      <c r="A132" s="10">
        <v>131</v>
      </c>
      <c r="B132" s="2" t="s">
        <v>184</v>
      </c>
      <c r="C132" s="2" t="s">
        <v>67</v>
      </c>
      <c r="D132" s="2" t="s">
        <v>175</v>
      </c>
      <c r="E132" s="2" t="s">
        <v>40</v>
      </c>
      <c r="F132" s="10">
        <v>8</v>
      </c>
      <c r="G132" s="2" t="s">
        <v>31</v>
      </c>
      <c r="H132" s="7" t="str">
        <f>HYPERLINK("mast3r/outputs/custom_gate_scen_4/reconstruction.glb","mast3r/outputs/custom_gate_scen_4/reconstruction.glb")</f>
        <v>mast3r/outputs/custom_gate_scen_4/reconstruction.glb</v>
      </c>
      <c r="I132" s="6" t="s">
        <v>185</v>
      </c>
      <c r="J132" s="3" t="s">
        <v>25</v>
      </c>
      <c r="K132" s="3">
        <v>2</v>
      </c>
      <c r="L132" s="3">
        <v>3</v>
      </c>
      <c r="M132" s="3">
        <v>2</v>
      </c>
      <c r="N132" s="3">
        <v>2</v>
      </c>
      <c r="O132" s="4">
        <f t="shared" si="4"/>
        <v>9</v>
      </c>
      <c r="P132" s="3"/>
      <c r="Q132" s="6" t="str">
        <f t="shared" si="5"/>
        <v>OK</v>
      </c>
      <c r="R132" s="6" t="s">
        <v>186</v>
      </c>
    </row>
    <row r="133" spans="1:18" ht="33.950000000000003" customHeight="1" x14ac:dyDescent="0.25">
      <c r="A133" s="10">
        <v>132</v>
      </c>
      <c r="B133" s="2" t="s">
        <v>184</v>
      </c>
      <c r="C133" s="2" t="s">
        <v>67</v>
      </c>
      <c r="D133" s="2" t="s">
        <v>175</v>
      </c>
      <c r="E133" s="2" t="s">
        <v>40</v>
      </c>
      <c r="F133" s="10">
        <v>8</v>
      </c>
      <c r="G133" s="2" t="s">
        <v>27</v>
      </c>
      <c r="H133" s="7" t="str">
        <f>HYPERLINK("mapany/outputs/custom_gate_scen_4/reconstruction.glb","mapany/outputs/custom_gate_scen_4/reconstruction.glb")</f>
        <v>mapany/outputs/custom_gate_scen_4/reconstruction.glb</v>
      </c>
      <c r="I133" s="6" t="s">
        <v>185</v>
      </c>
      <c r="J133" s="3" t="s">
        <v>25</v>
      </c>
      <c r="K133" s="3">
        <v>3</v>
      </c>
      <c r="L133" s="3">
        <v>2</v>
      </c>
      <c r="M133" s="3">
        <v>2</v>
      </c>
      <c r="N133" s="3">
        <v>2</v>
      </c>
      <c r="O133" s="4">
        <f t="shared" si="4"/>
        <v>9</v>
      </c>
      <c r="P133" s="3"/>
      <c r="Q133" s="6" t="str">
        <f t="shared" si="5"/>
        <v>OK</v>
      </c>
      <c r="R133" s="6" t="s">
        <v>186</v>
      </c>
    </row>
    <row r="134" spans="1:18" ht="33.950000000000003" customHeight="1" x14ac:dyDescent="0.25">
      <c r="A134" s="10">
        <v>133</v>
      </c>
      <c r="B134" s="2" t="s">
        <v>187</v>
      </c>
      <c r="C134" s="2" t="s">
        <v>134</v>
      </c>
      <c r="D134" s="2" t="s">
        <v>188</v>
      </c>
      <c r="E134" s="2" t="s">
        <v>162</v>
      </c>
      <c r="F134" s="10">
        <v>1</v>
      </c>
      <c r="G134" s="2" t="s">
        <v>23</v>
      </c>
      <c r="H134" s="7" t="str">
        <f>HYPERLINK("vggt/outputs/llff_horns_scen_1/reconstruction.glb","vggt/outputs/llff_horns_scen_1/reconstruction.glb")</f>
        <v>vggt/outputs/llff_horns_scen_1/reconstruction.glb</v>
      </c>
      <c r="I134" s="6" t="s">
        <v>189</v>
      </c>
      <c r="J134" s="3" t="s">
        <v>25</v>
      </c>
      <c r="K134" s="3">
        <v>1</v>
      </c>
      <c r="L134" s="3">
        <v>2</v>
      </c>
      <c r="M134" s="3">
        <v>3</v>
      </c>
      <c r="N134" s="3">
        <v>1</v>
      </c>
      <c r="O134" s="4">
        <f t="shared" si="4"/>
        <v>7</v>
      </c>
      <c r="P134" s="3"/>
      <c r="Q134" s="6" t="str">
        <f t="shared" si="5"/>
        <v>OK</v>
      </c>
      <c r="R134" s="6" t="s">
        <v>190</v>
      </c>
    </row>
    <row r="135" spans="1:18" ht="33.950000000000003" customHeight="1" x14ac:dyDescent="0.25">
      <c r="A135" s="10">
        <v>134</v>
      </c>
      <c r="B135" s="2" t="s">
        <v>187</v>
      </c>
      <c r="C135" s="2" t="s">
        <v>134</v>
      </c>
      <c r="D135" s="2" t="s">
        <v>188</v>
      </c>
      <c r="E135" s="2" t="s">
        <v>162</v>
      </c>
      <c r="F135" s="10">
        <v>1</v>
      </c>
      <c r="G135" s="2" t="s">
        <v>27</v>
      </c>
      <c r="H135" s="7" t="str">
        <f>HYPERLINK("mapany/outputs/llff_horns_scen_1/reconstruction.glb","mapany/outputs/llff_horns_scen_1/reconstruction.glb")</f>
        <v>mapany/outputs/llff_horns_scen_1/reconstruction.glb</v>
      </c>
      <c r="I135" s="6" t="s">
        <v>189</v>
      </c>
      <c r="J135" s="3" t="s">
        <v>25</v>
      </c>
      <c r="K135" s="3">
        <v>2</v>
      </c>
      <c r="L135" s="3">
        <v>1</v>
      </c>
      <c r="M135" s="3">
        <v>3</v>
      </c>
      <c r="N135" s="3">
        <v>2</v>
      </c>
      <c r="O135" s="4">
        <f t="shared" si="4"/>
        <v>8</v>
      </c>
      <c r="P135" s="3"/>
      <c r="Q135" s="6" t="str">
        <f t="shared" si="5"/>
        <v>OK</v>
      </c>
      <c r="R135" s="6" t="s">
        <v>190</v>
      </c>
    </row>
    <row r="136" spans="1:18" ht="33.950000000000003" customHeight="1" x14ac:dyDescent="0.25">
      <c r="A136" s="10">
        <v>135</v>
      </c>
      <c r="B136" s="2" t="s">
        <v>191</v>
      </c>
      <c r="C136" s="2" t="s">
        <v>134</v>
      </c>
      <c r="D136" s="2" t="s">
        <v>188</v>
      </c>
      <c r="E136" s="2" t="s">
        <v>162</v>
      </c>
      <c r="F136" s="10">
        <v>2</v>
      </c>
      <c r="G136" s="2" t="s">
        <v>23</v>
      </c>
      <c r="H136" s="7" t="str">
        <f>HYPERLINK("vggt/outputs/llff_horns_scen_2/reconstruction.glb","vggt/outputs/llff_horns_scen_2/reconstruction.glb")</f>
        <v>vggt/outputs/llff_horns_scen_2/reconstruction.glb</v>
      </c>
      <c r="I136" s="6" t="s">
        <v>192</v>
      </c>
      <c r="J136" s="3" t="s">
        <v>25</v>
      </c>
      <c r="K136" s="3">
        <v>1</v>
      </c>
      <c r="L136" s="3">
        <v>2</v>
      </c>
      <c r="M136" s="3">
        <v>3</v>
      </c>
      <c r="N136" s="3">
        <v>1</v>
      </c>
      <c r="O136" s="4">
        <f t="shared" si="4"/>
        <v>7</v>
      </c>
      <c r="P136" s="3"/>
      <c r="Q136" s="6" t="str">
        <f t="shared" si="5"/>
        <v>OK</v>
      </c>
      <c r="R136" s="6" t="s">
        <v>193</v>
      </c>
    </row>
    <row r="137" spans="1:18" ht="33.950000000000003" customHeight="1" x14ac:dyDescent="0.25">
      <c r="A137" s="10">
        <v>136</v>
      </c>
      <c r="B137" s="2" t="s">
        <v>191</v>
      </c>
      <c r="C137" s="2" t="s">
        <v>134</v>
      </c>
      <c r="D137" s="2" t="s">
        <v>188</v>
      </c>
      <c r="E137" s="2" t="s">
        <v>162</v>
      </c>
      <c r="F137" s="10">
        <v>2</v>
      </c>
      <c r="G137" s="2" t="s">
        <v>31</v>
      </c>
      <c r="H137" s="7" t="str">
        <f>HYPERLINK("mast3r/outputs/llff_horns_scen_2/reconstruction.glb","mast3r/outputs/llff_horns_scen_2/reconstruction.glb")</f>
        <v>mast3r/outputs/llff_horns_scen_2/reconstruction.glb</v>
      </c>
      <c r="I137" s="6" t="s">
        <v>192</v>
      </c>
      <c r="J137" s="3" t="s">
        <v>25</v>
      </c>
      <c r="K137" s="3">
        <v>1</v>
      </c>
      <c r="L137" s="3">
        <v>1</v>
      </c>
      <c r="M137" s="3">
        <v>2</v>
      </c>
      <c r="N137" s="3">
        <v>1</v>
      </c>
      <c r="O137" s="4">
        <f t="shared" si="4"/>
        <v>5</v>
      </c>
      <c r="P137" s="3"/>
      <c r="Q137" s="6" t="str">
        <f t="shared" si="5"/>
        <v>OK</v>
      </c>
      <c r="R137" s="6" t="s">
        <v>193</v>
      </c>
    </row>
    <row r="138" spans="1:18" ht="33.950000000000003" customHeight="1" x14ac:dyDescent="0.25">
      <c r="A138" s="10">
        <v>137</v>
      </c>
      <c r="B138" s="2" t="s">
        <v>191</v>
      </c>
      <c r="C138" s="2" t="s">
        <v>134</v>
      </c>
      <c r="D138" s="2" t="s">
        <v>188</v>
      </c>
      <c r="E138" s="2" t="s">
        <v>162</v>
      </c>
      <c r="F138" s="10">
        <v>2</v>
      </c>
      <c r="G138" s="2" t="s">
        <v>27</v>
      </c>
      <c r="H138" s="7" t="str">
        <f>HYPERLINK("mapany/outputs/llff_horns_scen_2/reconstruction.glb","mapany/outputs/llff_horns_scen_2/reconstruction.glb")</f>
        <v>mapany/outputs/llff_horns_scen_2/reconstruction.glb</v>
      </c>
      <c r="I138" s="6" t="s">
        <v>192</v>
      </c>
      <c r="J138" s="3" t="s">
        <v>25</v>
      </c>
      <c r="K138" s="3">
        <v>2</v>
      </c>
      <c r="L138" s="3">
        <v>1</v>
      </c>
      <c r="M138" s="3">
        <v>2</v>
      </c>
      <c r="N138" s="3">
        <v>2</v>
      </c>
      <c r="O138" s="4">
        <f t="shared" si="4"/>
        <v>7</v>
      </c>
      <c r="P138" s="3"/>
      <c r="Q138" s="6" t="str">
        <f t="shared" si="5"/>
        <v>OK</v>
      </c>
      <c r="R138" s="6" t="s">
        <v>193</v>
      </c>
    </row>
    <row r="139" spans="1:18" ht="33.950000000000003" customHeight="1" x14ac:dyDescent="0.25">
      <c r="A139" s="10">
        <v>138</v>
      </c>
      <c r="B139" s="2" t="s">
        <v>194</v>
      </c>
      <c r="C139" s="2" t="s">
        <v>134</v>
      </c>
      <c r="D139" s="2" t="s">
        <v>188</v>
      </c>
      <c r="E139" s="2" t="s">
        <v>162</v>
      </c>
      <c r="F139" s="10">
        <v>4</v>
      </c>
      <c r="G139" s="2" t="s">
        <v>23</v>
      </c>
      <c r="H139" s="7" t="str">
        <f>HYPERLINK("vggt/outputs/llff_horns_scen_3/reconstruction.glb","vggt/outputs/llff_horns_scen_3/reconstruction.glb")</f>
        <v>vggt/outputs/llff_horns_scen_3/reconstruction.glb</v>
      </c>
      <c r="I139" s="6" t="s">
        <v>195</v>
      </c>
      <c r="J139" s="3" t="s">
        <v>25</v>
      </c>
      <c r="K139" s="3">
        <v>1</v>
      </c>
      <c r="L139" s="3">
        <v>2</v>
      </c>
      <c r="M139" s="3">
        <v>3</v>
      </c>
      <c r="N139" s="3">
        <v>1</v>
      </c>
      <c r="O139" s="4">
        <f t="shared" si="4"/>
        <v>7</v>
      </c>
      <c r="P139" s="3"/>
      <c r="Q139" s="6" t="str">
        <f t="shared" si="5"/>
        <v>OK</v>
      </c>
      <c r="R139" s="6" t="s">
        <v>196</v>
      </c>
    </row>
    <row r="140" spans="1:18" ht="33.950000000000003" customHeight="1" x14ac:dyDescent="0.25">
      <c r="A140" s="10">
        <v>139</v>
      </c>
      <c r="B140" s="2" t="s">
        <v>194</v>
      </c>
      <c r="C140" s="2" t="s">
        <v>134</v>
      </c>
      <c r="D140" s="2" t="s">
        <v>188</v>
      </c>
      <c r="E140" s="2" t="s">
        <v>162</v>
      </c>
      <c r="F140" s="10">
        <v>4</v>
      </c>
      <c r="G140" s="2" t="s">
        <v>31</v>
      </c>
      <c r="H140" s="7" t="str">
        <f>HYPERLINK("mast3r/outputs/llff_horns_scen_3/reconstruction.glb","mast3r/outputs/llff_horns_scen_3/reconstruction.glb")</f>
        <v>mast3r/outputs/llff_horns_scen_3/reconstruction.glb</v>
      </c>
      <c r="I140" s="6" t="s">
        <v>195</v>
      </c>
      <c r="J140" s="3" t="s">
        <v>25</v>
      </c>
      <c r="K140" s="3">
        <v>1</v>
      </c>
      <c r="L140" s="3">
        <v>1</v>
      </c>
      <c r="M140" s="3">
        <v>2</v>
      </c>
      <c r="N140" s="3">
        <v>1</v>
      </c>
      <c r="O140" s="4">
        <f t="shared" si="4"/>
        <v>5</v>
      </c>
      <c r="P140" s="3"/>
      <c r="Q140" s="6" t="str">
        <f t="shared" si="5"/>
        <v>OK</v>
      </c>
      <c r="R140" s="6" t="s">
        <v>196</v>
      </c>
    </row>
    <row r="141" spans="1:18" ht="33.950000000000003" customHeight="1" x14ac:dyDescent="0.25">
      <c r="A141" s="10">
        <v>140</v>
      </c>
      <c r="B141" s="2" t="s">
        <v>194</v>
      </c>
      <c r="C141" s="2" t="s">
        <v>134</v>
      </c>
      <c r="D141" s="2" t="s">
        <v>188</v>
      </c>
      <c r="E141" s="2" t="s">
        <v>162</v>
      </c>
      <c r="F141" s="10">
        <v>4</v>
      </c>
      <c r="G141" s="2" t="s">
        <v>27</v>
      </c>
      <c r="H141" s="7" t="str">
        <f>HYPERLINK("mapany/outputs/llff_horns_scen_3/reconstruction.glb","mapany/outputs/llff_horns_scen_3/reconstruction.glb")</f>
        <v>mapany/outputs/llff_horns_scen_3/reconstruction.glb</v>
      </c>
      <c r="I141" s="6" t="s">
        <v>195</v>
      </c>
      <c r="J141" s="3" t="s">
        <v>25</v>
      </c>
      <c r="K141" s="3">
        <v>3</v>
      </c>
      <c r="L141" s="3">
        <v>1</v>
      </c>
      <c r="M141" s="3">
        <v>1</v>
      </c>
      <c r="N141" s="3">
        <v>2</v>
      </c>
      <c r="O141" s="4">
        <f t="shared" si="4"/>
        <v>7</v>
      </c>
      <c r="P141" s="3"/>
      <c r="Q141" s="6" t="str">
        <f t="shared" si="5"/>
        <v>OK</v>
      </c>
      <c r="R141" s="6" t="s">
        <v>196</v>
      </c>
    </row>
    <row r="142" spans="1:18" ht="33.950000000000003" customHeight="1" x14ac:dyDescent="0.25">
      <c r="A142" s="10">
        <v>141</v>
      </c>
      <c r="B142" s="2" t="s">
        <v>197</v>
      </c>
      <c r="C142" s="2" t="s">
        <v>134</v>
      </c>
      <c r="D142" s="2" t="s">
        <v>188</v>
      </c>
      <c r="E142" s="2" t="s">
        <v>162</v>
      </c>
      <c r="F142" s="10">
        <v>8</v>
      </c>
      <c r="G142" s="2" t="s">
        <v>23</v>
      </c>
      <c r="H142" s="7" t="str">
        <f>HYPERLINK("vggt/outputs/llff_horns_scen_4/reconstruction.glb","vggt/outputs/llff_horns_scen_4/reconstruction.glb")</f>
        <v>vggt/outputs/llff_horns_scen_4/reconstruction.glb</v>
      </c>
      <c r="I142" s="6" t="s">
        <v>198</v>
      </c>
      <c r="J142" s="3" t="s">
        <v>25</v>
      </c>
      <c r="K142" s="3">
        <v>1</v>
      </c>
      <c r="L142" s="3">
        <v>2</v>
      </c>
      <c r="M142" s="3">
        <v>2</v>
      </c>
      <c r="N142" s="3">
        <v>1</v>
      </c>
      <c r="O142" s="4">
        <f t="shared" si="4"/>
        <v>6</v>
      </c>
      <c r="P142" s="3"/>
      <c r="Q142" s="6" t="str">
        <f t="shared" si="5"/>
        <v>OK</v>
      </c>
      <c r="R142" s="6" t="s">
        <v>199</v>
      </c>
    </row>
    <row r="143" spans="1:18" ht="33.950000000000003" customHeight="1" x14ac:dyDescent="0.25">
      <c r="A143" s="10">
        <v>142</v>
      </c>
      <c r="B143" s="2" t="s">
        <v>197</v>
      </c>
      <c r="C143" s="2" t="s">
        <v>134</v>
      </c>
      <c r="D143" s="2" t="s">
        <v>188</v>
      </c>
      <c r="E143" s="2" t="s">
        <v>162</v>
      </c>
      <c r="F143" s="10">
        <v>8</v>
      </c>
      <c r="G143" s="2" t="s">
        <v>31</v>
      </c>
      <c r="H143" s="7" t="str">
        <f>HYPERLINK("mast3r/outputs/llff_horns_scen_4/reconstruction.glb","mast3r/outputs/llff_horns_scen_4/reconstruction.glb")</f>
        <v>mast3r/outputs/llff_horns_scen_4/reconstruction.glb</v>
      </c>
      <c r="I143" s="6" t="s">
        <v>198</v>
      </c>
      <c r="J143" s="3" t="s">
        <v>25</v>
      </c>
      <c r="K143" s="3">
        <v>1</v>
      </c>
      <c r="L143" s="3">
        <v>1</v>
      </c>
      <c r="M143" s="3">
        <v>2</v>
      </c>
      <c r="N143" s="3">
        <v>1</v>
      </c>
      <c r="O143" s="4">
        <f t="shared" si="4"/>
        <v>5</v>
      </c>
      <c r="P143" s="3"/>
      <c r="Q143" s="6" t="str">
        <f t="shared" si="5"/>
        <v>OK</v>
      </c>
      <c r="R143" s="6" t="s">
        <v>199</v>
      </c>
    </row>
    <row r="144" spans="1:18" ht="33.950000000000003" customHeight="1" x14ac:dyDescent="0.25">
      <c r="A144" s="10">
        <v>143</v>
      </c>
      <c r="B144" s="2" t="s">
        <v>197</v>
      </c>
      <c r="C144" s="2" t="s">
        <v>134</v>
      </c>
      <c r="D144" s="2" t="s">
        <v>188</v>
      </c>
      <c r="E144" s="2" t="s">
        <v>162</v>
      </c>
      <c r="F144" s="10">
        <v>8</v>
      </c>
      <c r="G144" s="2" t="s">
        <v>27</v>
      </c>
      <c r="H144" s="7" t="str">
        <f>HYPERLINK("mapany/outputs/llff_horns_scen_4/reconstruction.glb","mapany/outputs/llff_horns_scen_4/reconstruction.glb")</f>
        <v>mapany/outputs/llff_horns_scen_4/reconstruction.glb</v>
      </c>
      <c r="I144" s="6" t="s">
        <v>198</v>
      </c>
      <c r="J144" s="3" t="s">
        <v>25</v>
      </c>
      <c r="K144" s="3">
        <v>3</v>
      </c>
      <c r="L144" s="3">
        <v>1</v>
      </c>
      <c r="M144" s="3">
        <v>1</v>
      </c>
      <c r="N144" s="3">
        <v>2</v>
      </c>
      <c r="O144" s="4">
        <f t="shared" si="4"/>
        <v>7</v>
      </c>
      <c r="P144" s="3"/>
      <c r="Q144" s="6" t="str">
        <f t="shared" si="5"/>
        <v>OK</v>
      </c>
      <c r="R144" s="6" t="s">
        <v>199</v>
      </c>
    </row>
    <row r="145" spans="1:18" ht="33.950000000000003" customHeight="1" x14ac:dyDescent="0.25">
      <c r="A145" s="10">
        <v>144</v>
      </c>
      <c r="B145" s="2" t="s">
        <v>200</v>
      </c>
      <c r="C145" s="2" t="s">
        <v>67</v>
      </c>
      <c r="D145" s="2" t="s">
        <v>201</v>
      </c>
      <c r="E145" s="2" t="s">
        <v>162</v>
      </c>
      <c r="F145" s="10">
        <v>1</v>
      </c>
      <c r="G145" s="2" t="s">
        <v>23</v>
      </c>
      <c r="H145" s="7" t="str">
        <f>HYPERLINK("vggt/outputs/custom_kettle_scen_1/reconstruction.glb","vggt/outputs/custom_kettle_scen_1/reconstruction.glb")</f>
        <v>vggt/outputs/custom_kettle_scen_1/reconstruction.glb</v>
      </c>
      <c r="I145" s="6" t="s">
        <v>202</v>
      </c>
      <c r="J145" s="3" t="s">
        <v>25</v>
      </c>
      <c r="K145" s="3">
        <v>0</v>
      </c>
      <c r="L145" s="3">
        <v>1</v>
      </c>
      <c r="M145" s="3">
        <v>3</v>
      </c>
      <c r="N145" s="3">
        <v>1</v>
      </c>
      <c r="O145" s="4">
        <f t="shared" si="4"/>
        <v>5</v>
      </c>
      <c r="P145" s="3"/>
      <c r="Q145" s="6" t="str">
        <f t="shared" si="5"/>
        <v>OK</v>
      </c>
      <c r="R145" s="6" t="s">
        <v>203</v>
      </c>
    </row>
    <row r="146" spans="1:18" ht="33.950000000000003" customHeight="1" x14ac:dyDescent="0.25">
      <c r="A146" s="10">
        <v>145</v>
      </c>
      <c r="B146" s="2" t="s">
        <v>200</v>
      </c>
      <c r="C146" s="2" t="s">
        <v>67</v>
      </c>
      <c r="D146" s="2" t="s">
        <v>201</v>
      </c>
      <c r="E146" s="2" t="s">
        <v>162</v>
      </c>
      <c r="F146" s="10">
        <v>1</v>
      </c>
      <c r="G146" s="2" t="s">
        <v>27</v>
      </c>
      <c r="H146" s="7" t="str">
        <f>HYPERLINK("mapany/outputs/custom_kettle_scen_1/reconstruction.glb","mapany/outputs/custom_kettle_scen_1/reconstruction.glb")</f>
        <v>mapany/outputs/custom_kettle_scen_1/reconstruction.glb</v>
      </c>
      <c r="I146" s="6" t="s">
        <v>202</v>
      </c>
      <c r="J146" s="3" t="s">
        <v>25</v>
      </c>
      <c r="K146" s="3">
        <v>3</v>
      </c>
      <c r="L146" s="3">
        <v>2</v>
      </c>
      <c r="M146" s="3">
        <v>3</v>
      </c>
      <c r="N146" s="3">
        <v>3</v>
      </c>
      <c r="O146" s="4">
        <f t="shared" si="4"/>
        <v>11</v>
      </c>
      <c r="P146" s="3"/>
      <c r="Q146" s="6" t="str">
        <f t="shared" si="5"/>
        <v>OK</v>
      </c>
      <c r="R146" s="6" t="s">
        <v>203</v>
      </c>
    </row>
    <row r="147" spans="1:18" ht="33.950000000000003" customHeight="1" x14ac:dyDescent="0.25">
      <c r="A147" s="10">
        <v>146</v>
      </c>
      <c r="B147" s="2" t="s">
        <v>204</v>
      </c>
      <c r="C147" s="2" t="s">
        <v>67</v>
      </c>
      <c r="D147" s="2" t="s">
        <v>201</v>
      </c>
      <c r="E147" s="2" t="s">
        <v>162</v>
      </c>
      <c r="F147" s="10">
        <v>2</v>
      </c>
      <c r="G147" s="2" t="s">
        <v>23</v>
      </c>
      <c r="H147" s="7" t="str">
        <f>HYPERLINK("vggt/outputs/custom_kettle_scen_2/reconstruction.glb","vggt/outputs/custom_kettle_scen_2/reconstruction.glb")</f>
        <v>vggt/outputs/custom_kettle_scen_2/reconstruction.glb</v>
      </c>
      <c r="I147" s="6" t="s">
        <v>205</v>
      </c>
      <c r="J147" s="3" t="s">
        <v>25</v>
      </c>
      <c r="K147" s="3">
        <v>1</v>
      </c>
      <c r="L147" s="3">
        <v>1</v>
      </c>
      <c r="M147" s="3">
        <v>1</v>
      </c>
      <c r="N147" s="3">
        <v>1</v>
      </c>
      <c r="O147" s="4">
        <f t="shared" si="4"/>
        <v>4</v>
      </c>
      <c r="P147" s="3"/>
      <c r="Q147" s="6" t="str">
        <f t="shared" si="5"/>
        <v>OK</v>
      </c>
      <c r="R147" s="6" t="s">
        <v>206</v>
      </c>
    </row>
    <row r="148" spans="1:18" ht="33.950000000000003" customHeight="1" x14ac:dyDescent="0.25">
      <c r="A148" s="10">
        <v>147</v>
      </c>
      <c r="B148" s="2" t="s">
        <v>204</v>
      </c>
      <c r="C148" s="2" t="s">
        <v>67</v>
      </c>
      <c r="D148" s="2" t="s">
        <v>201</v>
      </c>
      <c r="E148" s="2" t="s">
        <v>162</v>
      </c>
      <c r="F148" s="10">
        <v>2</v>
      </c>
      <c r="G148" s="2" t="s">
        <v>31</v>
      </c>
      <c r="H148" s="7" t="str">
        <f>HYPERLINK("mast3r/outputs/custom_kettle_scen_2/reconstruction.glb","mast3r/outputs/custom_kettle_scen_2/reconstruction.glb")</f>
        <v>mast3r/outputs/custom_kettle_scen_2/reconstruction.glb</v>
      </c>
      <c r="I148" s="6" t="s">
        <v>205</v>
      </c>
      <c r="J148" s="3" t="s">
        <v>25</v>
      </c>
      <c r="K148" s="3">
        <v>2</v>
      </c>
      <c r="L148" s="3">
        <v>1</v>
      </c>
      <c r="M148" s="3">
        <v>2</v>
      </c>
      <c r="N148" s="3">
        <v>3</v>
      </c>
      <c r="O148" s="4">
        <f t="shared" si="4"/>
        <v>8</v>
      </c>
      <c r="P148" s="3"/>
      <c r="Q148" s="6" t="str">
        <f t="shared" si="5"/>
        <v>OK</v>
      </c>
      <c r="R148" s="6" t="s">
        <v>206</v>
      </c>
    </row>
    <row r="149" spans="1:18" ht="33.950000000000003" customHeight="1" x14ac:dyDescent="0.25">
      <c r="A149" s="10">
        <v>148</v>
      </c>
      <c r="B149" s="2" t="s">
        <v>204</v>
      </c>
      <c r="C149" s="2" t="s">
        <v>67</v>
      </c>
      <c r="D149" s="2" t="s">
        <v>201</v>
      </c>
      <c r="E149" s="2" t="s">
        <v>162</v>
      </c>
      <c r="F149" s="10">
        <v>2</v>
      </c>
      <c r="G149" s="2" t="s">
        <v>27</v>
      </c>
      <c r="H149" s="7" t="str">
        <f>HYPERLINK("mapany/outputs/custom_kettle_scen_2/reconstruction.glb","mapany/outputs/custom_kettle_scen_2/reconstruction.glb")</f>
        <v>mapany/outputs/custom_kettle_scen_2/reconstruction.glb</v>
      </c>
      <c r="I149" s="6" t="s">
        <v>205</v>
      </c>
      <c r="J149" s="3" t="s">
        <v>25</v>
      </c>
      <c r="K149" s="3">
        <v>3</v>
      </c>
      <c r="L149" s="3">
        <v>1</v>
      </c>
      <c r="M149" s="3">
        <v>3</v>
      </c>
      <c r="N149" s="3">
        <v>3</v>
      </c>
      <c r="O149" s="4">
        <f t="shared" si="4"/>
        <v>10</v>
      </c>
      <c r="P149" s="3"/>
      <c r="Q149" s="6" t="str">
        <f t="shared" si="5"/>
        <v>OK</v>
      </c>
      <c r="R149" s="6" t="s">
        <v>206</v>
      </c>
    </row>
    <row r="150" spans="1:18" ht="33.950000000000003" customHeight="1" x14ac:dyDescent="0.25">
      <c r="A150" s="10">
        <v>149</v>
      </c>
      <c r="B150" s="2" t="s">
        <v>207</v>
      </c>
      <c r="C150" s="2" t="s">
        <v>67</v>
      </c>
      <c r="D150" s="2" t="s">
        <v>201</v>
      </c>
      <c r="E150" s="2" t="s">
        <v>162</v>
      </c>
      <c r="F150" s="10">
        <v>4</v>
      </c>
      <c r="G150" s="2" t="s">
        <v>23</v>
      </c>
      <c r="H150" s="7" t="str">
        <f>HYPERLINK("vggt/outputs/custom_kettle_scen_3/reconstruction.glb","vggt/outputs/custom_kettle_scen_3/reconstruction.glb")</f>
        <v>vggt/outputs/custom_kettle_scen_3/reconstruction.glb</v>
      </c>
      <c r="I150" s="6" t="s">
        <v>208</v>
      </c>
      <c r="J150" s="3" t="s">
        <v>25</v>
      </c>
      <c r="K150" s="3">
        <v>1</v>
      </c>
      <c r="L150" s="3">
        <v>1</v>
      </c>
      <c r="M150" s="3">
        <v>1</v>
      </c>
      <c r="N150" s="3">
        <v>1</v>
      </c>
      <c r="O150" s="4">
        <f t="shared" si="4"/>
        <v>4</v>
      </c>
      <c r="P150" s="3"/>
      <c r="Q150" s="6" t="str">
        <f t="shared" si="5"/>
        <v>OK</v>
      </c>
      <c r="R150" s="6" t="s">
        <v>209</v>
      </c>
    </row>
    <row r="151" spans="1:18" ht="33.950000000000003" customHeight="1" x14ac:dyDescent="0.25">
      <c r="A151" s="10">
        <v>150</v>
      </c>
      <c r="B151" s="2" t="s">
        <v>207</v>
      </c>
      <c r="C151" s="2" t="s">
        <v>67</v>
      </c>
      <c r="D151" s="2" t="s">
        <v>201</v>
      </c>
      <c r="E151" s="2" t="s">
        <v>162</v>
      </c>
      <c r="F151" s="10">
        <v>4</v>
      </c>
      <c r="G151" s="2" t="s">
        <v>31</v>
      </c>
      <c r="H151" s="7" t="str">
        <f>HYPERLINK("mast3r/outputs/custom_kettle_scen_3/reconstruction.glb","mast3r/outputs/custom_kettle_scen_3/reconstruction.glb")</f>
        <v>mast3r/outputs/custom_kettle_scen_3/reconstruction.glb</v>
      </c>
      <c r="I151" s="6" t="s">
        <v>208</v>
      </c>
      <c r="J151" s="3" t="s">
        <v>25</v>
      </c>
      <c r="K151" s="3">
        <v>2</v>
      </c>
      <c r="L151" s="3">
        <v>1</v>
      </c>
      <c r="M151" s="3">
        <v>2</v>
      </c>
      <c r="N151" s="3">
        <v>3</v>
      </c>
      <c r="O151" s="4">
        <f t="shared" si="4"/>
        <v>8</v>
      </c>
      <c r="P151" s="3"/>
      <c r="Q151" s="6" t="str">
        <f t="shared" si="5"/>
        <v>OK</v>
      </c>
      <c r="R151" s="6" t="s">
        <v>209</v>
      </c>
    </row>
    <row r="152" spans="1:18" ht="33.950000000000003" customHeight="1" x14ac:dyDescent="0.25">
      <c r="A152" s="10">
        <v>151</v>
      </c>
      <c r="B152" s="2" t="s">
        <v>207</v>
      </c>
      <c r="C152" s="2" t="s">
        <v>67</v>
      </c>
      <c r="D152" s="2" t="s">
        <v>201</v>
      </c>
      <c r="E152" s="2" t="s">
        <v>162</v>
      </c>
      <c r="F152" s="10">
        <v>4</v>
      </c>
      <c r="G152" s="2" t="s">
        <v>27</v>
      </c>
      <c r="H152" s="7" t="str">
        <f>HYPERLINK("mapany/outputs/custom_kettle_scen_3/reconstruction.glb","mapany/outputs/custom_kettle_scen_3/reconstruction.glb")</f>
        <v>mapany/outputs/custom_kettle_scen_3/reconstruction.glb</v>
      </c>
      <c r="I152" s="6" t="s">
        <v>208</v>
      </c>
      <c r="J152" s="3" t="s">
        <v>25</v>
      </c>
      <c r="K152" s="3">
        <v>3</v>
      </c>
      <c r="L152" s="3">
        <v>1</v>
      </c>
      <c r="M152" s="3">
        <v>3</v>
      </c>
      <c r="N152" s="3">
        <v>3</v>
      </c>
      <c r="O152" s="4">
        <f t="shared" si="4"/>
        <v>10</v>
      </c>
      <c r="P152" s="3"/>
      <c r="Q152" s="6" t="str">
        <f t="shared" si="5"/>
        <v>OK</v>
      </c>
      <c r="R152" s="6" t="s">
        <v>209</v>
      </c>
    </row>
    <row r="153" spans="1:18" ht="33.950000000000003" customHeight="1" x14ac:dyDescent="0.25">
      <c r="A153" s="10">
        <v>152</v>
      </c>
      <c r="B153" s="2" t="s">
        <v>210</v>
      </c>
      <c r="C153" s="2" t="s">
        <v>67</v>
      </c>
      <c r="D153" s="2" t="s">
        <v>201</v>
      </c>
      <c r="E153" s="2" t="s">
        <v>162</v>
      </c>
      <c r="F153" s="10">
        <v>8</v>
      </c>
      <c r="G153" s="2" t="s">
        <v>23</v>
      </c>
      <c r="H153" s="7" t="str">
        <f>HYPERLINK("vggt/outputs/custom_kettle_scen_4/reconstruction.glb","vggt/outputs/custom_kettle_scen_4/reconstruction.glb")</f>
        <v>vggt/outputs/custom_kettle_scen_4/reconstruction.glb</v>
      </c>
      <c r="I153" s="6" t="s">
        <v>211</v>
      </c>
      <c r="J153" s="3" t="s">
        <v>25</v>
      </c>
      <c r="K153" s="3">
        <v>1</v>
      </c>
      <c r="L153" s="3">
        <v>1</v>
      </c>
      <c r="M153" s="3">
        <v>1</v>
      </c>
      <c r="N153" s="3">
        <v>1</v>
      </c>
      <c r="O153" s="4">
        <f t="shared" si="4"/>
        <v>4</v>
      </c>
      <c r="P153" s="3"/>
      <c r="Q153" s="6" t="str">
        <f t="shared" si="5"/>
        <v>OK</v>
      </c>
      <c r="R153" s="6" t="s">
        <v>212</v>
      </c>
    </row>
    <row r="154" spans="1:18" ht="33.950000000000003" customHeight="1" x14ac:dyDescent="0.25">
      <c r="A154" s="10">
        <v>153</v>
      </c>
      <c r="B154" s="2" t="s">
        <v>210</v>
      </c>
      <c r="C154" s="2" t="s">
        <v>67</v>
      </c>
      <c r="D154" s="2" t="s">
        <v>201</v>
      </c>
      <c r="E154" s="2" t="s">
        <v>162</v>
      </c>
      <c r="F154" s="10">
        <v>8</v>
      </c>
      <c r="G154" s="2" t="s">
        <v>31</v>
      </c>
      <c r="H154" s="7" t="str">
        <f>HYPERLINK("mast3r/outputs/custom_kettle_scen_4/reconstruction.glb","mast3r/outputs/custom_kettle_scen_4/reconstruction.glb")</f>
        <v>mast3r/outputs/custom_kettle_scen_4/reconstruction.glb</v>
      </c>
      <c r="I154" s="6" t="s">
        <v>211</v>
      </c>
      <c r="J154" s="3" t="s">
        <v>25</v>
      </c>
      <c r="K154" s="3">
        <v>2</v>
      </c>
      <c r="L154" s="3">
        <v>1</v>
      </c>
      <c r="M154" s="3">
        <v>2</v>
      </c>
      <c r="N154" s="3">
        <v>3</v>
      </c>
      <c r="O154" s="4">
        <f t="shared" si="4"/>
        <v>8</v>
      </c>
      <c r="P154" s="3"/>
      <c r="Q154" s="6" t="str">
        <f t="shared" si="5"/>
        <v>OK</v>
      </c>
      <c r="R154" s="6" t="s">
        <v>212</v>
      </c>
    </row>
    <row r="155" spans="1:18" ht="33.950000000000003" customHeight="1" x14ac:dyDescent="0.25">
      <c r="A155" s="10">
        <v>154</v>
      </c>
      <c r="B155" s="2" t="s">
        <v>210</v>
      </c>
      <c r="C155" s="2" t="s">
        <v>67</v>
      </c>
      <c r="D155" s="2" t="s">
        <v>201</v>
      </c>
      <c r="E155" s="2" t="s">
        <v>162</v>
      </c>
      <c r="F155" s="10">
        <v>8</v>
      </c>
      <c r="G155" s="2" t="s">
        <v>27</v>
      </c>
      <c r="H155" s="7" t="str">
        <f>HYPERLINK("mapany/outputs/custom_kettle_scen_4/reconstruction.glb","mapany/outputs/custom_kettle_scen_4/reconstruction.glb")</f>
        <v>mapany/outputs/custom_kettle_scen_4/reconstruction.glb</v>
      </c>
      <c r="I155" s="6" t="s">
        <v>211</v>
      </c>
      <c r="J155" s="3" t="s">
        <v>25</v>
      </c>
      <c r="K155" s="3">
        <v>3</v>
      </c>
      <c r="L155" s="3">
        <v>1</v>
      </c>
      <c r="M155" s="3">
        <v>3</v>
      </c>
      <c r="N155" s="3">
        <v>3</v>
      </c>
      <c r="O155" s="4">
        <f t="shared" si="4"/>
        <v>10</v>
      </c>
      <c r="P155" s="3"/>
      <c r="Q155" s="6" t="str">
        <f t="shared" si="5"/>
        <v>OK</v>
      </c>
      <c r="R155" s="6" t="s">
        <v>212</v>
      </c>
    </row>
    <row r="156" spans="1:18" ht="33.950000000000003" customHeight="1" x14ac:dyDescent="0.25">
      <c r="A156" s="10">
        <v>155</v>
      </c>
      <c r="B156" s="2" t="s">
        <v>213</v>
      </c>
      <c r="C156" s="2" t="s">
        <v>134</v>
      </c>
      <c r="D156" s="2" t="s">
        <v>214</v>
      </c>
      <c r="E156" s="2" t="s">
        <v>22</v>
      </c>
      <c r="F156" s="10">
        <v>1</v>
      </c>
      <c r="G156" s="2" t="s">
        <v>23</v>
      </c>
      <c r="H156" s="7" t="str">
        <f>HYPERLINK("vggt/outputs/llff_leaves_scen_1/reconstruction.glb","vggt/outputs/llff_leaves_scen_1/reconstruction.glb")</f>
        <v>vggt/outputs/llff_leaves_scen_1/reconstruction.glb</v>
      </c>
      <c r="I156" s="6" t="s">
        <v>215</v>
      </c>
      <c r="J156" s="3" t="s">
        <v>25</v>
      </c>
      <c r="K156" s="3">
        <v>1</v>
      </c>
      <c r="L156" s="3">
        <v>2</v>
      </c>
      <c r="M156" s="3">
        <v>1</v>
      </c>
      <c r="N156" s="3">
        <v>1</v>
      </c>
      <c r="O156" s="4">
        <f t="shared" si="4"/>
        <v>5</v>
      </c>
      <c r="P156" s="3"/>
      <c r="Q156" s="6" t="str">
        <f t="shared" si="5"/>
        <v>OK</v>
      </c>
      <c r="R156" s="6" t="s">
        <v>216</v>
      </c>
    </row>
    <row r="157" spans="1:18" ht="33.950000000000003" customHeight="1" x14ac:dyDescent="0.25">
      <c r="A157" s="10">
        <v>156</v>
      </c>
      <c r="B157" s="2" t="s">
        <v>213</v>
      </c>
      <c r="C157" s="2" t="s">
        <v>134</v>
      </c>
      <c r="D157" s="2" t="s">
        <v>214</v>
      </c>
      <c r="E157" s="2" t="s">
        <v>22</v>
      </c>
      <c r="F157" s="10">
        <v>1</v>
      </c>
      <c r="G157" s="2" t="s">
        <v>27</v>
      </c>
      <c r="H157" s="7" t="str">
        <f>HYPERLINK("mapany/outputs/llff_leaves_scen_1/reconstruction.glb","mapany/outputs/llff_leaves_scen_1/reconstruction.glb")</f>
        <v>mapany/outputs/llff_leaves_scen_1/reconstruction.glb</v>
      </c>
      <c r="I157" s="6" t="s">
        <v>215</v>
      </c>
      <c r="J157" s="3" t="s">
        <v>25</v>
      </c>
      <c r="K157" s="3">
        <v>1</v>
      </c>
      <c r="L157" s="3">
        <v>2</v>
      </c>
      <c r="M157" s="3">
        <v>1</v>
      </c>
      <c r="N157" s="3">
        <v>1</v>
      </c>
      <c r="O157" s="4">
        <f t="shared" si="4"/>
        <v>5</v>
      </c>
      <c r="P157" s="3"/>
      <c r="Q157" s="6" t="str">
        <f t="shared" si="5"/>
        <v>OK</v>
      </c>
      <c r="R157" s="6" t="s">
        <v>216</v>
      </c>
    </row>
    <row r="158" spans="1:18" ht="33.950000000000003" customHeight="1" x14ac:dyDescent="0.25">
      <c r="A158" s="10">
        <v>157</v>
      </c>
      <c r="B158" s="2" t="s">
        <v>217</v>
      </c>
      <c r="C158" s="2" t="s">
        <v>134</v>
      </c>
      <c r="D158" s="2" t="s">
        <v>214</v>
      </c>
      <c r="E158" s="2" t="s">
        <v>22</v>
      </c>
      <c r="F158" s="10">
        <v>2</v>
      </c>
      <c r="G158" s="2" t="s">
        <v>23</v>
      </c>
      <c r="H158" s="7" t="str">
        <f>HYPERLINK("vggt/outputs/llff_leaves_scen_2/reconstruction.glb","vggt/outputs/llff_leaves_scen_2/reconstruction.glb")</f>
        <v>vggt/outputs/llff_leaves_scen_2/reconstruction.glb</v>
      </c>
      <c r="I158" s="6" t="s">
        <v>218</v>
      </c>
      <c r="J158" s="3" t="s">
        <v>25</v>
      </c>
      <c r="K158" s="3">
        <v>2</v>
      </c>
      <c r="L158" s="3">
        <v>2</v>
      </c>
      <c r="M158" s="3">
        <v>1</v>
      </c>
      <c r="N158" s="3">
        <v>2</v>
      </c>
      <c r="O158" s="4">
        <f t="shared" si="4"/>
        <v>7</v>
      </c>
      <c r="P158" s="3"/>
      <c r="Q158" s="6" t="str">
        <f t="shared" si="5"/>
        <v>OK</v>
      </c>
      <c r="R158" s="6" t="s">
        <v>219</v>
      </c>
    </row>
    <row r="159" spans="1:18" ht="33.950000000000003" customHeight="1" x14ac:dyDescent="0.25">
      <c r="A159" s="10">
        <v>158</v>
      </c>
      <c r="B159" s="2" t="s">
        <v>217</v>
      </c>
      <c r="C159" s="2" t="s">
        <v>134</v>
      </c>
      <c r="D159" s="2" t="s">
        <v>214</v>
      </c>
      <c r="E159" s="2" t="s">
        <v>22</v>
      </c>
      <c r="F159" s="10">
        <v>2</v>
      </c>
      <c r="G159" s="2" t="s">
        <v>31</v>
      </c>
      <c r="H159" s="7" t="str">
        <f>HYPERLINK("mast3r/outputs/llff_leaves_scen_2/reconstruction.glb","mast3r/outputs/llff_leaves_scen_2/reconstruction.glb")</f>
        <v>mast3r/outputs/llff_leaves_scen_2/reconstruction.glb</v>
      </c>
      <c r="I159" s="6" t="s">
        <v>218</v>
      </c>
      <c r="J159" s="3" t="s">
        <v>25</v>
      </c>
      <c r="K159" s="3">
        <v>1</v>
      </c>
      <c r="L159" s="3">
        <v>1</v>
      </c>
      <c r="M159" s="3">
        <v>2</v>
      </c>
      <c r="N159" s="3">
        <v>1</v>
      </c>
      <c r="O159" s="4">
        <f t="shared" si="4"/>
        <v>5</v>
      </c>
      <c r="P159" s="3"/>
      <c r="Q159" s="6" t="str">
        <f t="shared" si="5"/>
        <v>OK</v>
      </c>
      <c r="R159" s="6" t="s">
        <v>219</v>
      </c>
    </row>
    <row r="160" spans="1:18" ht="33.950000000000003" customHeight="1" x14ac:dyDescent="0.25">
      <c r="A160" s="10">
        <v>159</v>
      </c>
      <c r="B160" s="2" t="s">
        <v>217</v>
      </c>
      <c r="C160" s="2" t="s">
        <v>134</v>
      </c>
      <c r="D160" s="2" t="s">
        <v>214</v>
      </c>
      <c r="E160" s="2" t="s">
        <v>22</v>
      </c>
      <c r="F160" s="10">
        <v>2</v>
      </c>
      <c r="G160" s="2" t="s">
        <v>27</v>
      </c>
      <c r="H160" s="7" t="str">
        <f>HYPERLINK("mapany/outputs/llff_leaves_scen_2/reconstruction.glb","mapany/outputs/llff_leaves_scen_2/reconstruction.glb")</f>
        <v>mapany/outputs/llff_leaves_scen_2/reconstruction.glb</v>
      </c>
      <c r="I160" s="6" t="s">
        <v>218</v>
      </c>
      <c r="J160" s="3" t="s">
        <v>25</v>
      </c>
      <c r="K160" s="3">
        <v>2</v>
      </c>
      <c r="L160" s="3">
        <v>2</v>
      </c>
      <c r="M160" s="3">
        <v>1</v>
      </c>
      <c r="N160" s="3">
        <v>2</v>
      </c>
      <c r="O160" s="4">
        <f t="shared" si="4"/>
        <v>7</v>
      </c>
      <c r="P160" s="3"/>
      <c r="Q160" s="6" t="str">
        <f t="shared" si="5"/>
        <v>OK</v>
      </c>
      <c r="R160" s="6" t="s">
        <v>219</v>
      </c>
    </row>
    <row r="161" spans="1:18" ht="33.950000000000003" customHeight="1" x14ac:dyDescent="0.25">
      <c r="A161" s="10">
        <v>160</v>
      </c>
      <c r="B161" s="2" t="s">
        <v>220</v>
      </c>
      <c r="C161" s="2" t="s">
        <v>134</v>
      </c>
      <c r="D161" s="2" t="s">
        <v>214</v>
      </c>
      <c r="E161" s="2" t="s">
        <v>22</v>
      </c>
      <c r="F161" s="10">
        <v>4</v>
      </c>
      <c r="G161" s="2" t="s">
        <v>23</v>
      </c>
      <c r="H161" s="7" t="str">
        <f>HYPERLINK("vggt/outputs/llff_leaves_scen_3/reconstruction.glb","vggt/outputs/llff_leaves_scen_3/reconstruction.glb")</f>
        <v>vggt/outputs/llff_leaves_scen_3/reconstruction.glb</v>
      </c>
      <c r="I161" s="6" t="s">
        <v>221</v>
      </c>
      <c r="J161" s="3" t="s">
        <v>25</v>
      </c>
      <c r="K161" s="3">
        <v>1</v>
      </c>
      <c r="L161" s="3">
        <v>2</v>
      </c>
      <c r="M161" s="3">
        <v>1</v>
      </c>
      <c r="N161" s="3">
        <v>2</v>
      </c>
      <c r="O161" s="4">
        <f t="shared" si="4"/>
        <v>6</v>
      </c>
      <c r="P161" s="3"/>
      <c r="Q161" s="6" t="str">
        <f t="shared" si="5"/>
        <v>OK</v>
      </c>
      <c r="R161" s="6" t="s">
        <v>222</v>
      </c>
    </row>
    <row r="162" spans="1:18" ht="33.950000000000003" customHeight="1" x14ac:dyDescent="0.25">
      <c r="A162" s="10">
        <v>161</v>
      </c>
      <c r="B162" s="2" t="s">
        <v>220</v>
      </c>
      <c r="C162" s="2" t="s">
        <v>134</v>
      </c>
      <c r="D162" s="2" t="s">
        <v>214</v>
      </c>
      <c r="E162" s="2" t="s">
        <v>22</v>
      </c>
      <c r="F162" s="10">
        <v>4</v>
      </c>
      <c r="G162" s="2" t="s">
        <v>31</v>
      </c>
      <c r="H162" s="7" t="str">
        <f>HYPERLINK("mast3r/outputs/llff_leaves_scen_3/reconstruction.glb","mast3r/outputs/llff_leaves_scen_3/reconstruction.glb")</f>
        <v>mast3r/outputs/llff_leaves_scen_3/reconstruction.glb</v>
      </c>
      <c r="I162" s="6" t="s">
        <v>221</v>
      </c>
      <c r="J162" s="3" t="s">
        <v>25</v>
      </c>
      <c r="K162" s="3">
        <v>1</v>
      </c>
      <c r="L162" s="3">
        <v>2</v>
      </c>
      <c r="M162" s="3">
        <v>1</v>
      </c>
      <c r="N162" s="3">
        <v>2</v>
      </c>
      <c r="O162" s="4">
        <f t="shared" si="4"/>
        <v>6</v>
      </c>
      <c r="P162" s="3"/>
      <c r="Q162" s="6" t="str">
        <f t="shared" si="5"/>
        <v>OK</v>
      </c>
      <c r="R162" s="6" t="s">
        <v>222</v>
      </c>
    </row>
    <row r="163" spans="1:18" ht="33.950000000000003" customHeight="1" x14ac:dyDescent="0.25">
      <c r="A163" s="10">
        <v>162</v>
      </c>
      <c r="B163" s="2" t="s">
        <v>220</v>
      </c>
      <c r="C163" s="2" t="s">
        <v>134</v>
      </c>
      <c r="D163" s="2" t="s">
        <v>214</v>
      </c>
      <c r="E163" s="2" t="s">
        <v>22</v>
      </c>
      <c r="F163" s="10">
        <v>4</v>
      </c>
      <c r="G163" s="2" t="s">
        <v>27</v>
      </c>
      <c r="H163" s="7" t="str">
        <f>HYPERLINK("mapany/outputs/llff_leaves_scen_3/reconstruction.glb","mapany/outputs/llff_leaves_scen_3/reconstruction.glb")</f>
        <v>mapany/outputs/llff_leaves_scen_3/reconstruction.glb</v>
      </c>
      <c r="I163" s="6" t="s">
        <v>221</v>
      </c>
      <c r="J163" s="3" t="s">
        <v>25</v>
      </c>
      <c r="K163" s="3">
        <v>2</v>
      </c>
      <c r="L163" s="3">
        <v>2</v>
      </c>
      <c r="M163" s="3">
        <v>1</v>
      </c>
      <c r="N163" s="3">
        <v>2</v>
      </c>
      <c r="O163" s="4">
        <f t="shared" si="4"/>
        <v>7</v>
      </c>
      <c r="P163" s="3"/>
      <c r="Q163" s="6" t="str">
        <f t="shared" si="5"/>
        <v>OK</v>
      </c>
      <c r="R163" s="6" t="s">
        <v>222</v>
      </c>
    </row>
    <row r="164" spans="1:18" ht="33.950000000000003" customHeight="1" x14ac:dyDescent="0.25">
      <c r="A164" s="10">
        <v>163</v>
      </c>
      <c r="B164" s="2" t="s">
        <v>223</v>
      </c>
      <c r="C164" s="2" t="s">
        <v>134</v>
      </c>
      <c r="D164" s="2" t="s">
        <v>214</v>
      </c>
      <c r="E164" s="2" t="s">
        <v>22</v>
      </c>
      <c r="F164" s="10">
        <v>8</v>
      </c>
      <c r="G164" s="2" t="s">
        <v>23</v>
      </c>
      <c r="H164" s="7" t="str">
        <f>HYPERLINK("vggt/outputs/llff_leaves_scen_4/reconstruction.glb","vggt/outputs/llff_leaves_scen_4/reconstruction.glb")</f>
        <v>vggt/outputs/llff_leaves_scen_4/reconstruction.glb</v>
      </c>
      <c r="I164" s="6" t="s">
        <v>224</v>
      </c>
      <c r="J164" s="3" t="s">
        <v>25</v>
      </c>
      <c r="K164" s="3">
        <v>2</v>
      </c>
      <c r="L164" s="3">
        <v>2</v>
      </c>
      <c r="M164" s="3">
        <v>2</v>
      </c>
      <c r="N164" s="3">
        <v>2</v>
      </c>
      <c r="O164" s="4">
        <f t="shared" si="4"/>
        <v>8</v>
      </c>
      <c r="P164" s="3"/>
      <c r="Q164" s="6" t="str">
        <f t="shared" si="5"/>
        <v>OK</v>
      </c>
      <c r="R164" s="6" t="s">
        <v>225</v>
      </c>
    </row>
    <row r="165" spans="1:18" ht="33.950000000000003" customHeight="1" x14ac:dyDescent="0.25">
      <c r="A165" s="10">
        <v>164</v>
      </c>
      <c r="B165" s="2" t="s">
        <v>223</v>
      </c>
      <c r="C165" s="2" t="s">
        <v>134</v>
      </c>
      <c r="D165" s="2" t="s">
        <v>214</v>
      </c>
      <c r="E165" s="2" t="s">
        <v>22</v>
      </c>
      <c r="F165" s="10">
        <v>8</v>
      </c>
      <c r="G165" s="2" t="s">
        <v>31</v>
      </c>
      <c r="H165" s="7" t="str">
        <f>HYPERLINK("mast3r/outputs/llff_leaves_scen_4/reconstruction.glb","mast3r/outputs/llff_leaves_scen_4/reconstruction.glb")</f>
        <v>mast3r/outputs/llff_leaves_scen_4/reconstruction.glb</v>
      </c>
      <c r="I165" s="6" t="s">
        <v>224</v>
      </c>
      <c r="J165" s="3" t="s">
        <v>25</v>
      </c>
      <c r="K165" s="3">
        <v>2</v>
      </c>
      <c r="L165" s="3">
        <v>1</v>
      </c>
      <c r="M165" s="3">
        <v>1</v>
      </c>
      <c r="N165" s="3">
        <v>1</v>
      </c>
      <c r="O165" s="4">
        <f t="shared" si="4"/>
        <v>5</v>
      </c>
      <c r="P165" s="3"/>
      <c r="Q165" s="6" t="str">
        <f t="shared" si="5"/>
        <v>OK</v>
      </c>
      <c r="R165" s="6" t="s">
        <v>225</v>
      </c>
    </row>
    <row r="166" spans="1:18" ht="33.950000000000003" customHeight="1" x14ac:dyDescent="0.25">
      <c r="A166" s="10">
        <v>165</v>
      </c>
      <c r="B166" s="2" t="s">
        <v>223</v>
      </c>
      <c r="C166" s="2" t="s">
        <v>134</v>
      </c>
      <c r="D166" s="2" t="s">
        <v>214</v>
      </c>
      <c r="E166" s="2" t="s">
        <v>22</v>
      </c>
      <c r="F166" s="10">
        <v>8</v>
      </c>
      <c r="G166" s="2" t="s">
        <v>27</v>
      </c>
      <c r="H166" s="7" t="str">
        <f>HYPERLINK("mapany/outputs/llff_leaves_scen_4/reconstruction.glb","mapany/outputs/llff_leaves_scen_4/reconstruction.glb")</f>
        <v>mapany/outputs/llff_leaves_scen_4/reconstruction.glb</v>
      </c>
      <c r="I166" s="6" t="s">
        <v>224</v>
      </c>
      <c r="J166" s="3" t="s">
        <v>25</v>
      </c>
      <c r="K166" s="3">
        <v>2</v>
      </c>
      <c r="L166" s="3">
        <v>1</v>
      </c>
      <c r="M166" s="3">
        <v>1</v>
      </c>
      <c r="N166" s="3">
        <v>2</v>
      </c>
      <c r="O166" s="4">
        <f t="shared" si="4"/>
        <v>6</v>
      </c>
      <c r="P166" s="3"/>
      <c r="Q166" s="6" t="str">
        <f t="shared" si="5"/>
        <v>OK</v>
      </c>
      <c r="R166" s="6" t="s">
        <v>225</v>
      </c>
    </row>
    <row r="167" spans="1:18" ht="33.950000000000003" customHeight="1" x14ac:dyDescent="0.25">
      <c r="A167" s="10">
        <v>166</v>
      </c>
      <c r="B167" s="2" t="s">
        <v>226</v>
      </c>
      <c r="C167" s="2" t="s">
        <v>20</v>
      </c>
      <c r="D167" s="2" t="s">
        <v>227</v>
      </c>
      <c r="E167" s="2" t="s">
        <v>54</v>
      </c>
      <c r="F167" s="10">
        <v>1</v>
      </c>
      <c r="G167" s="2" t="s">
        <v>23</v>
      </c>
      <c r="H167" s="7" t="str">
        <f>HYPERLINK("vggt/outputs/eth3d_lecture_room_scen_1/reconstruction.glb","vggt/outputs/eth3d_lecture_room_scen_1/reconstruction.glb")</f>
        <v>vggt/outputs/eth3d_lecture_room_scen_1/reconstruction.glb</v>
      </c>
      <c r="I167" s="6" t="s">
        <v>228</v>
      </c>
      <c r="J167" s="3" t="s">
        <v>25</v>
      </c>
      <c r="K167" s="3">
        <v>1</v>
      </c>
      <c r="L167" s="3">
        <v>2</v>
      </c>
      <c r="M167" s="3">
        <v>2</v>
      </c>
      <c r="N167" s="3">
        <v>1</v>
      </c>
      <c r="O167" s="4">
        <f t="shared" si="4"/>
        <v>6</v>
      </c>
      <c r="P167" s="3"/>
      <c r="Q167" s="6" t="str">
        <f t="shared" si="5"/>
        <v>OK</v>
      </c>
      <c r="R167" s="6" t="s">
        <v>229</v>
      </c>
    </row>
    <row r="168" spans="1:18" ht="33.950000000000003" customHeight="1" x14ac:dyDescent="0.25">
      <c r="A168" s="10">
        <v>167</v>
      </c>
      <c r="B168" s="2" t="s">
        <v>226</v>
      </c>
      <c r="C168" s="2" t="s">
        <v>20</v>
      </c>
      <c r="D168" s="2" t="s">
        <v>227</v>
      </c>
      <c r="E168" s="2" t="s">
        <v>54</v>
      </c>
      <c r="F168" s="10">
        <v>1</v>
      </c>
      <c r="G168" s="2" t="s">
        <v>27</v>
      </c>
      <c r="H168" s="7" t="str">
        <f>HYPERLINK("mapany/outputs/eth3d_lecture_room_scen_1/reconstruction.glb","mapany/outputs/eth3d_lecture_room_scen_1/reconstruction.glb")</f>
        <v>mapany/outputs/eth3d_lecture_room_scen_1/reconstruction.glb</v>
      </c>
      <c r="I168" s="6" t="s">
        <v>228</v>
      </c>
      <c r="J168" s="3" t="s">
        <v>25</v>
      </c>
      <c r="K168" s="3">
        <v>3</v>
      </c>
      <c r="L168" s="3">
        <v>2</v>
      </c>
      <c r="M168" s="3">
        <v>3</v>
      </c>
      <c r="N168" s="3">
        <v>2</v>
      </c>
      <c r="O168" s="4">
        <f t="shared" si="4"/>
        <v>10</v>
      </c>
      <c r="P168" s="3"/>
      <c r="Q168" s="6" t="str">
        <f t="shared" si="5"/>
        <v>OK</v>
      </c>
      <c r="R168" s="6" t="s">
        <v>229</v>
      </c>
    </row>
    <row r="169" spans="1:18" ht="33.950000000000003" customHeight="1" x14ac:dyDescent="0.25">
      <c r="A169" s="10">
        <v>168</v>
      </c>
      <c r="B169" s="2" t="s">
        <v>230</v>
      </c>
      <c r="C169" s="2" t="s">
        <v>20</v>
      </c>
      <c r="D169" s="2" t="s">
        <v>227</v>
      </c>
      <c r="E169" s="2" t="s">
        <v>54</v>
      </c>
      <c r="F169" s="10">
        <v>2</v>
      </c>
      <c r="G169" s="2" t="s">
        <v>23</v>
      </c>
      <c r="H169" s="7" t="str">
        <f>HYPERLINK("vggt/outputs/eth3d_lecture_room_scen_2/reconstruction.glb","vggt/outputs/eth3d_lecture_room_scen_2/reconstruction.glb")</f>
        <v>vggt/outputs/eth3d_lecture_room_scen_2/reconstruction.glb</v>
      </c>
      <c r="I169" s="6" t="s">
        <v>231</v>
      </c>
      <c r="J169" s="3" t="s">
        <v>25</v>
      </c>
      <c r="K169" s="3">
        <v>1</v>
      </c>
      <c r="L169" s="3">
        <v>1</v>
      </c>
      <c r="M169" s="3">
        <v>2</v>
      </c>
      <c r="N169" s="3">
        <v>1</v>
      </c>
      <c r="O169" s="4">
        <f t="shared" si="4"/>
        <v>5</v>
      </c>
      <c r="P169" s="3"/>
      <c r="Q169" s="6" t="str">
        <f t="shared" si="5"/>
        <v>OK</v>
      </c>
      <c r="R169" s="6" t="s">
        <v>232</v>
      </c>
    </row>
    <row r="170" spans="1:18" ht="33.950000000000003" customHeight="1" x14ac:dyDescent="0.25">
      <c r="A170" s="10">
        <v>169</v>
      </c>
      <c r="B170" s="2" t="s">
        <v>230</v>
      </c>
      <c r="C170" s="2" t="s">
        <v>20</v>
      </c>
      <c r="D170" s="2" t="s">
        <v>227</v>
      </c>
      <c r="E170" s="2" t="s">
        <v>54</v>
      </c>
      <c r="F170" s="10">
        <v>2</v>
      </c>
      <c r="G170" s="2" t="s">
        <v>31</v>
      </c>
      <c r="H170" s="7" t="str">
        <f>HYPERLINK("mast3r/outputs/eth3d_lecture_room_scen_2/reconstruction.glb","mast3r/outputs/eth3d_lecture_room_scen_2/reconstruction.glb")</f>
        <v>mast3r/outputs/eth3d_lecture_room_scen_2/reconstruction.glb</v>
      </c>
      <c r="I170" s="6" t="s">
        <v>231</v>
      </c>
      <c r="J170" s="3" t="s">
        <v>25</v>
      </c>
      <c r="K170" s="3">
        <v>1</v>
      </c>
      <c r="L170" s="3">
        <v>1</v>
      </c>
      <c r="M170" s="3">
        <v>2</v>
      </c>
      <c r="N170" s="3">
        <v>2</v>
      </c>
      <c r="O170" s="4">
        <f t="shared" si="4"/>
        <v>6</v>
      </c>
      <c r="P170" s="3"/>
      <c r="Q170" s="6" t="str">
        <f t="shared" si="5"/>
        <v>OK</v>
      </c>
      <c r="R170" s="6" t="s">
        <v>232</v>
      </c>
    </row>
    <row r="171" spans="1:18" ht="33.950000000000003" customHeight="1" x14ac:dyDescent="0.25">
      <c r="A171" s="10">
        <v>170</v>
      </c>
      <c r="B171" s="2" t="s">
        <v>230</v>
      </c>
      <c r="C171" s="2" t="s">
        <v>20</v>
      </c>
      <c r="D171" s="2" t="s">
        <v>227</v>
      </c>
      <c r="E171" s="2" t="s">
        <v>54</v>
      </c>
      <c r="F171" s="10">
        <v>2</v>
      </c>
      <c r="G171" s="2" t="s">
        <v>27</v>
      </c>
      <c r="H171" s="7" t="str">
        <f>HYPERLINK("mapany/outputs/eth3d_lecture_room_scen_2/reconstruction.glb","mapany/outputs/eth3d_lecture_room_scen_2/reconstruction.glb")</f>
        <v>mapany/outputs/eth3d_lecture_room_scen_2/reconstruction.glb</v>
      </c>
      <c r="I171" s="6" t="s">
        <v>231</v>
      </c>
      <c r="J171" s="3" t="s">
        <v>25</v>
      </c>
      <c r="K171" s="3">
        <v>2</v>
      </c>
      <c r="L171" s="3">
        <v>2</v>
      </c>
      <c r="M171" s="3">
        <v>2</v>
      </c>
      <c r="N171" s="3">
        <v>2</v>
      </c>
      <c r="O171" s="4">
        <f t="shared" si="4"/>
        <v>8</v>
      </c>
      <c r="P171" s="3"/>
      <c r="Q171" s="6" t="str">
        <f t="shared" si="5"/>
        <v>OK</v>
      </c>
      <c r="R171" s="6" t="s">
        <v>232</v>
      </c>
    </row>
    <row r="172" spans="1:18" ht="33.950000000000003" customHeight="1" x14ac:dyDescent="0.25">
      <c r="A172" s="10">
        <v>171</v>
      </c>
      <c r="B172" s="2" t="s">
        <v>233</v>
      </c>
      <c r="C172" s="2" t="s">
        <v>20</v>
      </c>
      <c r="D172" s="2" t="s">
        <v>227</v>
      </c>
      <c r="E172" s="2" t="s">
        <v>54</v>
      </c>
      <c r="F172" s="10">
        <v>4</v>
      </c>
      <c r="G172" s="2" t="s">
        <v>23</v>
      </c>
      <c r="H172" s="7" t="str">
        <f>HYPERLINK("vggt/outputs/eth3d_lecture_room_scen_3/reconstruction.glb","vggt/outputs/eth3d_lecture_room_scen_3/reconstruction.glb")</f>
        <v>vggt/outputs/eth3d_lecture_room_scen_3/reconstruction.glb</v>
      </c>
      <c r="I172" s="6" t="s">
        <v>234</v>
      </c>
      <c r="J172" s="3" t="s">
        <v>25</v>
      </c>
      <c r="K172" s="3">
        <v>1</v>
      </c>
      <c r="L172" s="3">
        <v>1</v>
      </c>
      <c r="M172" s="3">
        <v>2</v>
      </c>
      <c r="N172" s="3">
        <v>1</v>
      </c>
      <c r="O172" s="4">
        <f t="shared" si="4"/>
        <v>5</v>
      </c>
      <c r="P172" s="3"/>
      <c r="Q172" s="6" t="str">
        <f t="shared" si="5"/>
        <v>OK</v>
      </c>
      <c r="R172" s="6" t="s">
        <v>235</v>
      </c>
    </row>
    <row r="173" spans="1:18" ht="33.950000000000003" customHeight="1" x14ac:dyDescent="0.25">
      <c r="A173" s="10">
        <v>172</v>
      </c>
      <c r="B173" s="2" t="s">
        <v>233</v>
      </c>
      <c r="C173" s="2" t="s">
        <v>20</v>
      </c>
      <c r="D173" s="2" t="s">
        <v>227</v>
      </c>
      <c r="E173" s="2" t="s">
        <v>54</v>
      </c>
      <c r="F173" s="10">
        <v>4</v>
      </c>
      <c r="G173" s="2" t="s">
        <v>31</v>
      </c>
      <c r="H173" s="7" t="str">
        <f>HYPERLINK("mast3r/outputs/eth3d_lecture_room_scen_3/reconstruction.glb","mast3r/outputs/eth3d_lecture_room_scen_3/reconstruction.glb")</f>
        <v>mast3r/outputs/eth3d_lecture_room_scen_3/reconstruction.glb</v>
      </c>
      <c r="I173" s="6" t="s">
        <v>234</v>
      </c>
      <c r="J173" s="3" t="s">
        <v>25</v>
      </c>
      <c r="K173" s="3">
        <v>1</v>
      </c>
      <c r="L173" s="3">
        <v>1</v>
      </c>
      <c r="M173" s="3">
        <v>1</v>
      </c>
      <c r="N173" s="3">
        <v>2</v>
      </c>
      <c r="O173" s="4">
        <f t="shared" si="4"/>
        <v>5</v>
      </c>
      <c r="P173" s="3"/>
      <c r="Q173" s="6" t="str">
        <f t="shared" si="5"/>
        <v>OK</v>
      </c>
      <c r="R173" s="6" t="s">
        <v>235</v>
      </c>
    </row>
    <row r="174" spans="1:18" ht="33.950000000000003" customHeight="1" x14ac:dyDescent="0.25">
      <c r="A174" s="10">
        <v>173</v>
      </c>
      <c r="B174" s="2" t="s">
        <v>233</v>
      </c>
      <c r="C174" s="2" t="s">
        <v>20</v>
      </c>
      <c r="D174" s="2" t="s">
        <v>227</v>
      </c>
      <c r="E174" s="2" t="s">
        <v>54</v>
      </c>
      <c r="F174" s="10">
        <v>4</v>
      </c>
      <c r="G174" s="2" t="s">
        <v>27</v>
      </c>
      <c r="H174" s="7" t="str">
        <f>HYPERLINK("mapany/outputs/eth3d_lecture_room_scen_3/reconstruction.glb","mapany/outputs/eth3d_lecture_room_scen_3/reconstruction.glb")</f>
        <v>mapany/outputs/eth3d_lecture_room_scen_3/reconstruction.glb</v>
      </c>
      <c r="I174" s="6" t="s">
        <v>234</v>
      </c>
      <c r="J174" s="3" t="s">
        <v>25</v>
      </c>
      <c r="K174" s="3">
        <v>1</v>
      </c>
      <c r="L174" s="3">
        <v>2</v>
      </c>
      <c r="M174" s="3">
        <v>2</v>
      </c>
      <c r="N174" s="3">
        <v>2</v>
      </c>
      <c r="O174" s="4">
        <f t="shared" si="4"/>
        <v>7</v>
      </c>
      <c r="P174" s="3"/>
      <c r="Q174" s="6" t="str">
        <f t="shared" si="5"/>
        <v>OK</v>
      </c>
      <c r="R174" s="6" t="s">
        <v>235</v>
      </c>
    </row>
    <row r="175" spans="1:18" ht="33.950000000000003" customHeight="1" x14ac:dyDescent="0.25">
      <c r="A175" s="10">
        <v>174</v>
      </c>
      <c r="B175" s="2" t="s">
        <v>236</v>
      </c>
      <c r="C175" s="2" t="s">
        <v>20</v>
      </c>
      <c r="D175" s="2" t="s">
        <v>227</v>
      </c>
      <c r="E175" s="2" t="s">
        <v>54</v>
      </c>
      <c r="F175" s="10">
        <v>8</v>
      </c>
      <c r="G175" s="2" t="s">
        <v>23</v>
      </c>
      <c r="H175" s="7" t="str">
        <f>HYPERLINK("vggt/outputs/eth3d_lecture_room_scen_4/reconstruction.glb","vggt/outputs/eth3d_lecture_room_scen_4/reconstruction.glb")</f>
        <v>vggt/outputs/eth3d_lecture_room_scen_4/reconstruction.glb</v>
      </c>
      <c r="I175" s="6" t="s">
        <v>237</v>
      </c>
      <c r="J175" s="3" t="s">
        <v>25</v>
      </c>
      <c r="K175" s="3">
        <v>1</v>
      </c>
      <c r="L175" s="3">
        <v>0</v>
      </c>
      <c r="M175" s="3">
        <v>1</v>
      </c>
      <c r="N175" s="3">
        <v>1</v>
      </c>
      <c r="O175" s="4">
        <f t="shared" si="4"/>
        <v>3</v>
      </c>
      <c r="P175" s="3"/>
      <c r="Q175" s="6" t="str">
        <f t="shared" si="5"/>
        <v>OK</v>
      </c>
      <c r="R175" s="6" t="s">
        <v>238</v>
      </c>
    </row>
    <row r="176" spans="1:18" ht="33.950000000000003" customHeight="1" x14ac:dyDescent="0.25">
      <c r="A176" s="10">
        <v>175</v>
      </c>
      <c r="B176" s="2" t="s">
        <v>236</v>
      </c>
      <c r="C176" s="2" t="s">
        <v>20</v>
      </c>
      <c r="D176" s="2" t="s">
        <v>227</v>
      </c>
      <c r="E176" s="2" t="s">
        <v>54</v>
      </c>
      <c r="F176" s="10">
        <v>8</v>
      </c>
      <c r="G176" s="2" t="s">
        <v>31</v>
      </c>
      <c r="H176" s="7" t="str">
        <f>HYPERLINK("mast3r/outputs/eth3d_lecture_room_scen_4/reconstruction.glb","mast3r/outputs/eth3d_lecture_room_scen_4/reconstruction.glb")</f>
        <v>mast3r/outputs/eth3d_lecture_room_scen_4/reconstruction.glb</v>
      </c>
      <c r="I176" s="6" t="s">
        <v>237</v>
      </c>
      <c r="J176" s="3" t="s">
        <v>25</v>
      </c>
      <c r="K176" s="3">
        <v>2</v>
      </c>
      <c r="L176" s="3">
        <v>1</v>
      </c>
      <c r="M176" s="3">
        <v>1</v>
      </c>
      <c r="N176" s="3">
        <v>2</v>
      </c>
      <c r="O176" s="4">
        <f t="shared" si="4"/>
        <v>6</v>
      </c>
      <c r="P176" s="3"/>
      <c r="Q176" s="6" t="str">
        <f t="shared" si="5"/>
        <v>OK</v>
      </c>
      <c r="R176" s="6" t="s">
        <v>238</v>
      </c>
    </row>
    <row r="177" spans="1:18" ht="33.950000000000003" customHeight="1" x14ac:dyDescent="0.25">
      <c r="A177" s="10">
        <v>176</v>
      </c>
      <c r="B177" s="2" t="s">
        <v>236</v>
      </c>
      <c r="C177" s="2" t="s">
        <v>20</v>
      </c>
      <c r="D177" s="2" t="s">
        <v>227</v>
      </c>
      <c r="E177" s="2" t="s">
        <v>54</v>
      </c>
      <c r="F177" s="10">
        <v>8</v>
      </c>
      <c r="G177" s="2" t="s">
        <v>27</v>
      </c>
      <c r="H177" s="7" t="str">
        <f>HYPERLINK("mapany/outputs/eth3d_lecture_room_scen_4/reconstruction.glb","mapany/outputs/eth3d_lecture_room_scen_4/reconstruction.glb")</f>
        <v>mapany/outputs/eth3d_lecture_room_scen_4/reconstruction.glb</v>
      </c>
      <c r="I177" s="6" t="s">
        <v>237</v>
      </c>
      <c r="J177" s="3" t="s">
        <v>25</v>
      </c>
      <c r="K177" s="3">
        <v>2</v>
      </c>
      <c r="L177" s="3">
        <v>2</v>
      </c>
      <c r="M177" s="3">
        <v>2</v>
      </c>
      <c r="N177" s="3">
        <v>3</v>
      </c>
      <c r="O177" s="4">
        <f t="shared" si="4"/>
        <v>9</v>
      </c>
      <c r="P177" s="3"/>
      <c r="Q177" s="6" t="str">
        <f t="shared" si="5"/>
        <v>OK</v>
      </c>
      <c r="R177" s="6" t="s">
        <v>238</v>
      </c>
    </row>
    <row r="178" spans="1:18" ht="33.950000000000003" customHeight="1" x14ac:dyDescent="0.25">
      <c r="A178" s="10">
        <v>177</v>
      </c>
      <c r="B178" s="2" t="s">
        <v>239</v>
      </c>
      <c r="C178" s="2" t="s">
        <v>20</v>
      </c>
      <c r="D178" s="2" t="s">
        <v>240</v>
      </c>
      <c r="E178" s="2" t="s">
        <v>54</v>
      </c>
      <c r="F178" s="10">
        <v>1</v>
      </c>
      <c r="G178" s="2" t="s">
        <v>23</v>
      </c>
      <c r="H178" s="7" t="str">
        <f>HYPERLINK("vggt/outputs/eth3d_lounge_scen_1/reconstruction.glb","vggt/outputs/eth3d_lounge_scen_1/reconstruction.glb")</f>
        <v>vggt/outputs/eth3d_lounge_scen_1/reconstruction.glb</v>
      </c>
      <c r="I178" s="6" t="s">
        <v>241</v>
      </c>
      <c r="J178" s="3" t="s">
        <v>25</v>
      </c>
      <c r="K178" s="3">
        <v>0</v>
      </c>
      <c r="L178" s="3">
        <v>2</v>
      </c>
      <c r="M178" s="3">
        <v>2</v>
      </c>
      <c r="N178" s="3">
        <v>1</v>
      </c>
      <c r="O178" s="4">
        <f t="shared" si="4"/>
        <v>5</v>
      </c>
      <c r="P178" s="3"/>
      <c r="Q178" s="6" t="str">
        <f t="shared" si="5"/>
        <v>OK</v>
      </c>
      <c r="R178" s="6" t="s">
        <v>242</v>
      </c>
    </row>
    <row r="179" spans="1:18" ht="33.950000000000003" customHeight="1" x14ac:dyDescent="0.25">
      <c r="A179" s="10">
        <v>178</v>
      </c>
      <c r="B179" s="2" t="s">
        <v>239</v>
      </c>
      <c r="C179" s="2" t="s">
        <v>20</v>
      </c>
      <c r="D179" s="2" t="s">
        <v>240</v>
      </c>
      <c r="E179" s="2" t="s">
        <v>54</v>
      </c>
      <c r="F179" s="10">
        <v>1</v>
      </c>
      <c r="G179" s="2" t="s">
        <v>27</v>
      </c>
      <c r="H179" s="7" t="str">
        <f>HYPERLINK("mapany/outputs/eth3d_lounge_scen_1/reconstruction.glb","mapany/outputs/eth3d_lounge_scen_1/reconstruction.glb")</f>
        <v>mapany/outputs/eth3d_lounge_scen_1/reconstruction.glb</v>
      </c>
      <c r="I179" s="6" t="s">
        <v>241</v>
      </c>
      <c r="J179" s="3" t="s">
        <v>25</v>
      </c>
      <c r="K179" s="3">
        <v>1</v>
      </c>
      <c r="L179" s="3">
        <v>1</v>
      </c>
      <c r="M179" s="3">
        <v>2</v>
      </c>
      <c r="N179" s="3">
        <v>2</v>
      </c>
      <c r="O179" s="4">
        <f t="shared" si="4"/>
        <v>6</v>
      </c>
      <c r="P179" s="3"/>
      <c r="Q179" s="6" t="str">
        <f t="shared" si="5"/>
        <v>OK</v>
      </c>
      <c r="R179" s="6" t="s">
        <v>242</v>
      </c>
    </row>
    <row r="180" spans="1:18" ht="33.950000000000003" customHeight="1" x14ac:dyDescent="0.25">
      <c r="A180" s="10">
        <v>179</v>
      </c>
      <c r="B180" s="2" t="s">
        <v>243</v>
      </c>
      <c r="C180" s="2" t="s">
        <v>20</v>
      </c>
      <c r="D180" s="2" t="s">
        <v>240</v>
      </c>
      <c r="E180" s="2" t="s">
        <v>54</v>
      </c>
      <c r="F180" s="10">
        <v>2</v>
      </c>
      <c r="G180" s="2" t="s">
        <v>23</v>
      </c>
      <c r="H180" s="7" t="str">
        <f>HYPERLINK("vggt/outputs/eth3d_lounge_scen_2/reconstruction.glb","vggt/outputs/eth3d_lounge_scen_2/reconstruction.glb")</f>
        <v>vggt/outputs/eth3d_lounge_scen_2/reconstruction.glb</v>
      </c>
      <c r="I180" s="6" t="s">
        <v>244</v>
      </c>
      <c r="J180" s="3" t="s">
        <v>25</v>
      </c>
      <c r="K180" s="3">
        <v>0</v>
      </c>
      <c r="L180" s="3">
        <v>2</v>
      </c>
      <c r="M180" s="3">
        <v>2</v>
      </c>
      <c r="N180" s="3">
        <v>1</v>
      </c>
      <c r="O180" s="4">
        <f t="shared" si="4"/>
        <v>5</v>
      </c>
      <c r="P180" s="3"/>
      <c r="Q180" s="6" t="str">
        <f t="shared" si="5"/>
        <v>OK</v>
      </c>
      <c r="R180" s="6" t="s">
        <v>245</v>
      </c>
    </row>
    <row r="181" spans="1:18" ht="33.950000000000003" customHeight="1" x14ac:dyDescent="0.25">
      <c r="A181" s="10">
        <v>180</v>
      </c>
      <c r="B181" s="2" t="s">
        <v>243</v>
      </c>
      <c r="C181" s="2" t="s">
        <v>20</v>
      </c>
      <c r="D181" s="2" t="s">
        <v>240</v>
      </c>
      <c r="E181" s="2" t="s">
        <v>54</v>
      </c>
      <c r="F181" s="10">
        <v>2</v>
      </c>
      <c r="G181" s="2" t="s">
        <v>31</v>
      </c>
      <c r="H181" s="7" t="str">
        <f>HYPERLINK("mast3r/outputs/eth3d_lounge_scen_2/reconstruction.glb","mast3r/outputs/eth3d_lounge_scen_2/reconstruction.glb")</f>
        <v>mast3r/outputs/eth3d_lounge_scen_2/reconstruction.glb</v>
      </c>
      <c r="I181" s="6" t="s">
        <v>244</v>
      </c>
      <c r="J181" s="3" t="s">
        <v>25</v>
      </c>
      <c r="K181" s="3">
        <v>1</v>
      </c>
      <c r="L181" s="3">
        <v>1</v>
      </c>
      <c r="M181" s="3">
        <v>1</v>
      </c>
      <c r="N181" s="3">
        <v>1</v>
      </c>
      <c r="O181" s="4">
        <f t="shared" si="4"/>
        <v>4</v>
      </c>
      <c r="P181" s="3"/>
      <c r="Q181" s="6" t="str">
        <f t="shared" si="5"/>
        <v>OK</v>
      </c>
      <c r="R181" s="6" t="s">
        <v>245</v>
      </c>
    </row>
    <row r="182" spans="1:18" ht="33.950000000000003" customHeight="1" x14ac:dyDescent="0.25">
      <c r="A182" s="10">
        <v>181</v>
      </c>
      <c r="B182" s="2" t="s">
        <v>243</v>
      </c>
      <c r="C182" s="2" t="s">
        <v>20</v>
      </c>
      <c r="D182" s="2" t="s">
        <v>240</v>
      </c>
      <c r="E182" s="2" t="s">
        <v>54</v>
      </c>
      <c r="F182" s="10">
        <v>2</v>
      </c>
      <c r="G182" s="2" t="s">
        <v>27</v>
      </c>
      <c r="H182" s="7" t="str">
        <f>HYPERLINK("mapany/outputs/eth3d_lounge_scen_2/reconstruction.glb","mapany/outputs/eth3d_lounge_scen_2/reconstruction.glb")</f>
        <v>mapany/outputs/eth3d_lounge_scen_2/reconstruction.glb</v>
      </c>
      <c r="I182" s="6" t="s">
        <v>244</v>
      </c>
      <c r="J182" s="3" t="s">
        <v>25</v>
      </c>
      <c r="K182" s="3">
        <v>2</v>
      </c>
      <c r="L182" s="3">
        <v>1</v>
      </c>
      <c r="M182" s="3">
        <v>1</v>
      </c>
      <c r="N182" s="3">
        <v>1</v>
      </c>
      <c r="O182" s="4">
        <f t="shared" si="4"/>
        <v>5</v>
      </c>
      <c r="P182" s="3"/>
      <c r="Q182" s="6" t="str">
        <f t="shared" si="5"/>
        <v>OK</v>
      </c>
      <c r="R182" s="6" t="s">
        <v>245</v>
      </c>
    </row>
    <row r="183" spans="1:18" ht="33.950000000000003" customHeight="1" x14ac:dyDescent="0.25">
      <c r="A183" s="10">
        <v>182</v>
      </c>
      <c r="B183" s="2" t="s">
        <v>246</v>
      </c>
      <c r="C183" s="2" t="s">
        <v>20</v>
      </c>
      <c r="D183" s="2" t="s">
        <v>240</v>
      </c>
      <c r="E183" s="2" t="s">
        <v>54</v>
      </c>
      <c r="F183" s="10">
        <v>4</v>
      </c>
      <c r="G183" s="2" t="s">
        <v>23</v>
      </c>
      <c r="H183" s="7" t="str">
        <f>HYPERLINK("vggt/outputs/eth3d_lounge_scen_3/reconstruction.glb","vggt/outputs/eth3d_lounge_scen_3/reconstruction.glb")</f>
        <v>vggt/outputs/eth3d_lounge_scen_3/reconstruction.glb</v>
      </c>
      <c r="I183" s="6" t="s">
        <v>247</v>
      </c>
      <c r="J183" s="3" t="s">
        <v>25</v>
      </c>
      <c r="K183" s="3">
        <v>1</v>
      </c>
      <c r="L183" s="3">
        <v>1</v>
      </c>
      <c r="M183" s="3">
        <v>1</v>
      </c>
      <c r="N183" s="3">
        <v>1</v>
      </c>
      <c r="O183" s="4">
        <f t="shared" si="4"/>
        <v>4</v>
      </c>
      <c r="P183" s="3"/>
      <c r="Q183" s="6" t="str">
        <f t="shared" si="5"/>
        <v>OK</v>
      </c>
      <c r="R183" s="6" t="s">
        <v>248</v>
      </c>
    </row>
    <row r="184" spans="1:18" ht="33.950000000000003" customHeight="1" x14ac:dyDescent="0.25">
      <c r="A184" s="10">
        <v>183</v>
      </c>
      <c r="B184" s="2" t="s">
        <v>246</v>
      </c>
      <c r="C184" s="2" t="s">
        <v>20</v>
      </c>
      <c r="D184" s="2" t="s">
        <v>240</v>
      </c>
      <c r="E184" s="2" t="s">
        <v>54</v>
      </c>
      <c r="F184" s="10">
        <v>4</v>
      </c>
      <c r="G184" s="2" t="s">
        <v>31</v>
      </c>
      <c r="H184" s="7" t="str">
        <f>HYPERLINK("mast3r/outputs/eth3d_lounge_scen_3/reconstruction.glb","mast3r/outputs/eth3d_lounge_scen_3/reconstruction.glb")</f>
        <v>mast3r/outputs/eth3d_lounge_scen_3/reconstruction.glb</v>
      </c>
      <c r="I184" s="6" t="s">
        <v>247</v>
      </c>
      <c r="J184" s="3" t="s">
        <v>25</v>
      </c>
      <c r="K184" s="3">
        <v>1</v>
      </c>
      <c r="L184" s="3">
        <v>1</v>
      </c>
      <c r="M184" s="3">
        <v>1</v>
      </c>
      <c r="N184" s="3">
        <v>1</v>
      </c>
      <c r="O184" s="4">
        <f t="shared" si="4"/>
        <v>4</v>
      </c>
      <c r="P184" s="3"/>
      <c r="Q184" s="6" t="str">
        <f t="shared" si="5"/>
        <v>OK</v>
      </c>
      <c r="R184" s="6" t="s">
        <v>248</v>
      </c>
    </row>
    <row r="185" spans="1:18" ht="33.950000000000003" customHeight="1" x14ac:dyDescent="0.25">
      <c r="A185" s="10">
        <v>184</v>
      </c>
      <c r="B185" s="2" t="s">
        <v>246</v>
      </c>
      <c r="C185" s="2" t="s">
        <v>20</v>
      </c>
      <c r="D185" s="2" t="s">
        <v>240</v>
      </c>
      <c r="E185" s="2" t="s">
        <v>54</v>
      </c>
      <c r="F185" s="10">
        <v>4</v>
      </c>
      <c r="G185" s="2" t="s">
        <v>27</v>
      </c>
      <c r="H185" s="7" t="str">
        <f>HYPERLINK("mapany/outputs/eth3d_lounge_scen_3/reconstruction.glb","mapany/outputs/eth3d_lounge_scen_3/reconstruction.glb")</f>
        <v>mapany/outputs/eth3d_lounge_scen_3/reconstruction.glb</v>
      </c>
      <c r="I185" s="6" t="s">
        <v>247</v>
      </c>
      <c r="J185" s="3" t="s">
        <v>25</v>
      </c>
      <c r="K185" s="3">
        <v>2</v>
      </c>
      <c r="L185" s="3">
        <v>1</v>
      </c>
      <c r="M185" s="3">
        <v>1</v>
      </c>
      <c r="N185" s="3">
        <v>2</v>
      </c>
      <c r="O185" s="4">
        <f t="shared" si="4"/>
        <v>6</v>
      </c>
      <c r="P185" s="3"/>
      <c r="Q185" s="6" t="str">
        <f t="shared" si="5"/>
        <v>OK</v>
      </c>
      <c r="R185" s="6" t="s">
        <v>248</v>
      </c>
    </row>
    <row r="186" spans="1:18" ht="33.950000000000003" customHeight="1" x14ac:dyDescent="0.25">
      <c r="A186" s="10">
        <v>185</v>
      </c>
      <c r="B186" s="2" t="s">
        <v>249</v>
      </c>
      <c r="C186" s="2" t="s">
        <v>20</v>
      </c>
      <c r="D186" s="2" t="s">
        <v>240</v>
      </c>
      <c r="E186" s="2" t="s">
        <v>54</v>
      </c>
      <c r="F186" s="10">
        <v>8</v>
      </c>
      <c r="G186" s="2" t="s">
        <v>23</v>
      </c>
      <c r="H186" s="7" t="str">
        <f>HYPERLINK("vggt/outputs/eth3d_lounge_scen_4/reconstruction.glb","vggt/outputs/eth3d_lounge_scen_4/reconstruction.glb")</f>
        <v>vggt/outputs/eth3d_lounge_scen_4/reconstruction.glb</v>
      </c>
      <c r="I186" s="6" t="s">
        <v>250</v>
      </c>
      <c r="J186" s="3" t="s">
        <v>25</v>
      </c>
      <c r="K186" s="3">
        <v>1</v>
      </c>
      <c r="L186" s="3">
        <v>1</v>
      </c>
      <c r="M186" s="3">
        <v>2</v>
      </c>
      <c r="N186" s="3">
        <v>1</v>
      </c>
      <c r="O186" s="4">
        <f t="shared" si="4"/>
        <v>5</v>
      </c>
      <c r="P186" s="3"/>
      <c r="Q186" s="6" t="str">
        <f t="shared" si="5"/>
        <v>OK</v>
      </c>
      <c r="R186" s="6" t="s">
        <v>251</v>
      </c>
    </row>
    <row r="187" spans="1:18" ht="33.950000000000003" customHeight="1" x14ac:dyDescent="0.25">
      <c r="A187" s="10">
        <v>186</v>
      </c>
      <c r="B187" s="2" t="s">
        <v>249</v>
      </c>
      <c r="C187" s="2" t="s">
        <v>20</v>
      </c>
      <c r="D187" s="2" t="s">
        <v>240</v>
      </c>
      <c r="E187" s="2" t="s">
        <v>54</v>
      </c>
      <c r="F187" s="10">
        <v>8</v>
      </c>
      <c r="G187" s="2" t="s">
        <v>31</v>
      </c>
      <c r="H187" s="7" t="str">
        <f>HYPERLINK("mast3r/outputs/eth3d_lounge_scen_4/reconstruction.glb","mast3r/outputs/eth3d_lounge_scen_4/reconstruction.glb")</f>
        <v>mast3r/outputs/eth3d_lounge_scen_4/reconstruction.glb</v>
      </c>
      <c r="I187" s="6" t="s">
        <v>250</v>
      </c>
      <c r="J187" s="3" t="s">
        <v>25</v>
      </c>
      <c r="K187" s="3">
        <v>1</v>
      </c>
      <c r="L187" s="3">
        <v>1</v>
      </c>
      <c r="M187" s="3">
        <v>1</v>
      </c>
      <c r="N187" s="3">
        <v>1</v>
      </c>
      <c r="O187" s="4">
        <f t="shared" si="4"/>
        <v>4</v>
      </c>
      <c r="P187" s="3"/>
      <c r="Q187" s="6" t="str">
        <f t="shared" si="5"/>
        <v>OK</v>
      </c>
      <c r="R187" s="6" t="s">
        <v>251</v>
      </c>
    </row>
    <row r="188" spans="1:18" ht="33.950000000000003" customHeight="1" x14ac:dyDescent="0.25">
      <c r="A188" s="10">
        <v>187</v>
      </c>
      <c r="B188" s="2" t="s">
        <v>249</v>
      </c>
      <c r="C188" s="2" t="s">
        <v>20</v>
      </c>
      <c r="D188" s="2" t="s">
        <v>240</v>
      </c>
      <c r="E188" s="2" t="s">
        <v>54</v>
      </c>
      <c r="F188" s="10">
        <v>8</v>
      </c>
      <c r="G188" s="2" t="s">
        <v>27</v>
      </c>
      <c r="H188" s="7" t="str">
        <f>HYPERLINK("mapany/outputs/eth3d_lounge_scen_4/reconstruction.glb","mapany/outputs/eth3d_lounge_scen_4/reconstruction.glb")</f>
        <v>mapany/outputs/eth3d_lounge_scen_4/reconstruction.glb</v>
      </c>
      <c r="I188" s="6" t="s">
        <v>250</v>
      </c>
      <c r="J188" s="3" t="s">
        <v>25</v>
      </c>
      <c r="K188" s="3">
        <v>2</v>
      </c>
      <c r="L188" s="3">
        <v>1</v>
      </c>
      <c r="M188" s="3">
        <v>1</v>
      </c>
      <c r="N188" s="3">
        <v>2</v>
      </c>
      <c r="O188" s="4">
        <f t="shared" si="4"/>
        <v>6</v>
      </c>
      <c r="P188" s="3"/>
      <c r="Q188" s="6" t="str">
        <f t="shared" si="5"/>
        <v>OK</v>
      </c>
      <c r="R188" s="6" t="s">
        <v>251</v>
      </c>
    </row>
    <row r="189" spans="1:18" ht="33.950000000000003" customHeight="1" x14ac:dyDescent="0.25">
      <c r="A189" s="10">
        <v>188</v>
      </c>
      <c r="B189" s="2" t="s">
        <v>252</v>
      </c>
      <c r="C189" s="2" t="s">
        <v>67</v>
      </c>
      <c r="D189" s="2" t="s">
        <v>253</v>
      </c>
      <c r="E189" s="2" t="s">
        <v>162</v>
      </c>
      <c r="F189" s="10">
        <v>1</v>
      </c>
      <c r="G189" s="2" t="s">
        <v>23</v>
      </c>
      <c r="H189" s="7" t="str">
        <f>HYPERLINK("vggt/outputs/custom_millenium_falcon_scen_1/reconstruction.glb","vggt/outputs/custom_millenium_falcon_scen_1/reconstruction.glb")</f>
        <v>vggt/outputs/custom_millenium_falcon_scen_1/reconstruction.glb</v>
      </c>
      <c r="I189" s="6" t="s">
        <v>254</v>
      </c>
      <c r="J189" s="3" t="s">
        <v>25</v>
      </c>
      <c r="K189" s="3">
        <v>1</v>
      </c>
      <c r="L189" s="3">
        <v>2</v>
      </c>
      <c r="M189" s="3">
        <v>2</v>
      </c>
      <c r="N189" s="3">
        <v>2</v>
      </c>
      <c r="O189" s="4">
        <f t="shared" si="4"/>
        <v>7</v>
      </c>
      <c r="P189" s="3"/>
      <c r="Q189" s="6" t="str">
        <f t="shared" si="5"/>
        <v>OK</v>
      </c>
      <c r="R189" s="6" t="s">
        <v>255</v>
      </c>
    </row>
    <row r="190" spans="1:18" ht="33.950000000000003" customHeight="1" x14ac:dyDescent="0.25">
      <c r="A190" s="10">
        <v>189</v>
      </c>
      <c r="B190" s="2" t="s">
        <v>252</v>
      </c>
      <c r="C190" s="2" t="s">
        <v>67</v>
      </c>
      <c r="D190" s="2" t="s">
        <v>253</v>
      </c>
      <c r="E190" s="2" t="s">
        <v>162</v>
      </c>
      <c r="F190" s="10">
        <v>1</v>
      </c>
      <c r="G190" s="2" t="s">
        <v>27</v>
      </c>
      <c r="H190" s="7" t="str">
        <f>HYPERLINK("mapany/outputs/custom_millenium_falcon_scen_1/reconstruction.glb","mapany/outputs/custom_millenium_falcon_scen_1/reconstruction.glb")</f>
        <v>mapany/outputs/custom_millenium_falcon_scen_1/reconstruction.glb</v>
      </c>
      <c r="I190" s="6" t="s">
        <v>254</v>
      </c>
      <c r="J190" s="3" t="s">
        <v>25</v>
      </c>
      <c r="K190" s="3">
        <v>2</v>
      </c>
      <c r="L190" s="3">
        <v>2</v>
      </c>
      <c r="M190" s="3">
        <v>2</v>
      </c>
      <c r="N190" s="3">
        <v>2</v>
      </c>
      <c r="O190" s="4">
        <f t="shared" si="4"/>
        <v>8</v>
      </c>
      <c r="P190" s="3"/>
      <c r="Q190" s="6" t="str">
        <f t="shared" si="5"/>
        <v>OK</v>
      </c>
      <c r="R190" s="6" t="s">
        <v>255</v>
      </c>
    </row>
    <row r="191" spans="1:18" ht="33.950000000000003" customHeight="1" x14ac:dyDescent="0.25">
      <c r="A191" s="10">
        <v>190</v>
      </c>
      <c r="B191" s="2" t="s">
        <v>256</v>
      </c>
      <c r="C191" s="2" t="s">
        <v>67</v>
      </c>
      <c r="D191" s="2" t="s">
        <v>253</v>
      </c>
      <c r="E191" s="2" t="s">
        <v>162</v>
      </c>
      <c r="F191" s="10">
        <v>2</v>
      </c>
      <c r="G191" s="2" t="s">
        <v>23</v>
      </c>
      <c r="H191" s="7" t="str">
        <f>HYPERLINK("vggt/outputs/custom_millenium_falcon_scen_2/reconstruction.glb","vggt/outputs/custom_millenium_falcon_scen_2/reconstruction.glb")</f>
        <v>vggt/outputs/custom_millenium_falcon_scen_2/reconstruction.glb</v>
      </c>
      <c r="I191" s="6" t="s">
        <v>257</v>
      </c>
      <c r="J191" s="3" t="s">
        <v>25</v>
      </c>
      <c r="K191" s="3">
        <v>1</v>
      </c>
      <c r="L191" s="3">
        <v>2</v>
      </c>
      <c r="M191" s="3">
        <v>2</v>
      </c>
      <c r="N191" s="3">
        <v>2</v>
      </c>
      <c r="O191" s="4">
        <f t="shared" si="4"/>
        <v>7</v>
      </c>
      <c r="P191" s="3"/>
      <c r="Q191" s="6" t="str">
        <f t="shared" si="5"/>
        <v>OK</v>
      </c>
      <c r="R191" s="6" t="s">
        <v>258</v>
      </c>
    </row>
    <row r="192" spans="1:18" ht="33.950000000000003" customHeight="1" x14ac:dyDescent="0.25">
      <c r="A192" s="10">
        <v>191</v>
      </c>
      <c r="B192" s="2" t="s">
        <v>256</v>
      </c>
      <c r="C192" s="2" t="s">
        <v>67</v>
      </c>
      <c r="D192" s="2" t="s">
        <v>253</v>
      </c>
      <c r="E192" s="2" t="s">
        <v>162</v>
      </c>
      <c r="F192" s="10">
        <v>2</v>
      </c>
      <c r="G192" s="2" t="s">
        <v>31</v>
      </c>
      <c r="H192" s="7" t="str">
        <f>HYPERLINK("mast3r/outputs/custom_millenium_falcon_scen_2/reconstruction.glb","mast3r/outputs/custom_millenium_falcon_scen_2/reconstruction.glb")</f>
        <v>mast3r/outputs/custom_millenium_falcon_scen_2/reconstruction.glb</v>
      </c>
      <c r="I192" s="6" t="s">
        <v>257</v>
      </c>
      <c r="J192" s="3" t="s">
        <v>25</v>
      </c>
      <c r="K192" s="3">
        <v>1</v>
      </c>
      <c r="L192" s="3">
        <v>2</v>
      </c>
      <c r="M192" s="3">
        <v>1</v>
      </c>
      <c r="N192" s="3">
        <v>2</v>
      </c>
      <c r="O192" s="4">
        <f t="shared" si="4"/>
        <v>6</v>
      </c>
      <c r="P192" s="3"/>
      <c r="Q192" s="6" t="str">
        <f t="shared" si="5"/>
        <v>OK</v>
      </c>
      <c r="R192" s="6" t="s">
        <v>258</v>
      </c>
    </row>
    <row r="193" spans="1:18" ht="33.950000000000003" customHeight="1" x14ac:dyDescent="0.25">
      <c r="A193" s="10">
        <v>192</v>
      </c>
      <c r="B193" s="2" t="s">
        <v>256</v>
      </c>
      <c r="C193" s="2" t="s">
        <v>67</v>
      </c>
      <c r="D193" s="2" t="s">
        <v>253</v>
      </c>
      <c r="E193" s="2" t="s">
        <v>162</v>
      </c>
      <c r="F193" s="10">
        <v>2</v>
      </c>
      <c r="G193" s="2" t="s">
        <v>27</v>
      </c>
      <c r="H193" s="7" t="str">
        <f>HYPERLINK("mapany/outputs/custom_millenium_falcon_scen_2/reconstruction.glb","mapany/outputs/custom_millenium_falcon_scen_2/reconstruction.glb")</f>
        <v>mapany/outputs/custom_millenium_falcon_scen_2/reconstruction.glb</v>
      </c>
      <c r="I193" s="6" t="s">
        <v>257</v>
      </c>
      <c r="J193" s="3" t="s">
        <v>25</v>
      </c>
      <c r="K193" s="3">
        <v>2</v>
      </c>
      <c r="L193" s="3">
        <v>1</v>
      </c>
      <c r="M193" s="3">
        <v>2</v>
      </c>
      <c r="N193" s="3">
        <v>2</v>
      </c>
      <c r="O193" s="4">
        <f t="shared" si="4"/>
        <v>7</v>
      </c>
      <c r="P193" s="3"/>
      <c r="Q193" s="6" t="str">
        <f t="shared" si="5"/>
        <v>OK</v>
      </c>
      <c r="R193" s="6" t="s">
        <v>258</v>
      </c>
    </row>
    <row r="194" spans="1:18" ht="33.950000000000003" customHeight="1" x14ac:dyDescent="0.25">
      <c r="A194" s="10">
        <v>193</v>
      </c>
      <c r="B194" s="2" t="s">
        <v>259</v>
      </c>
      <c r="C194" s="2" t="s">
        <v>67</v>
      </c>
      <c r="D194" s="2" t="s">
        <v>253</v>
      </c>
      <c r="E194" s="2" t="s">
        <v>162</v>
      </c>
      <c r="F194" s="10">
        <v>4</v>
      </c>
      <c r="G194" s="2" t="s">
        <v>23</v>
      </c>
      <c r="H194" s="7" t="str">
        <f>HYPERLINK("vggt/outputs/custom_millenium_falcon_scen_3/reconstruction.glb","vggt/outputs/custom_millenium_falcon_scen_3/reconstruction.glb")</f>
        <v>vggt/outputs/custom_millenium_falcon_scen_3/reconstruction.glb</v>
      </c>
      <c r="I194" s="6" t="s">
        <v>260</v>
      </c>
      <c r="J194" s="3" t="s">
        <v>25</v>
      </c>
      <c r="K194" s="3">
        <v>1</v>
      </c>
      <c r="L194" s="3">
        <v>2</v>
      </c>
      <c r="M194" s="3">
        <v>3</v>
      </c>
      <c r="N194" s="3">
        <v>2</v>
      </c>
      <c r="O194" s="4">
        <f t="shared" ref="O194:O257" si="6">IF($J194="Niepowodzenie rekonstrukcji",0,IF(COUNT($K194:$N194)=4,SUM($K194:$N194),""))</f>
        <v>8</v>
      </c>
      <c r="P194" s="3"/>
      <c r="Q194" s="6" t="str">
        <f t="shared" ref="Q194:Q257" si="7">IF($J194="Niepowodzenie rekonstrukcji",IF(COUNTIF($K194:$N194,0)=4,"OK","Ustaw C, G, A, D = 0"),IF(COUNT($K194:$N194)=0,"Nieoceniony",IF(COUNT($K194:$N194)=4,"OK","Uzupełnij oceny")))</f>
        <v>OK</v>
      </c>
      <c r="R194" s="6" t="s">
        <v>261</v>
      </c>
    </row>
    <row r="195" spans="1:18" ht="33.950000000000003" customHeight="1" x14ac:dyDescent="0.25">
      <c r="A195" s="10">
        <v>194</v>
      </c>
      <c r="B195" s="2" t="s">
        <v>259</v>
      </c>
      <c r="C195" s="2" t="s">
        <v>67</v>
      </c>
      <c r="D195" s="2" t="s">
        <v>253</v>
      </c>
      <c r="E195" s="2" t="s">
        <v>162</v>
      </c>
      <c r="F195" s="10">
        <v>4</v>
      </c>
      <c r="G195" s="2" t="s">
        <v>31</v>
      </c>
      <c r="H195" s="7" t="str">
        <f>HYPERLINK("mast3r/outputs/custom_millenium_falcon_scen_3/reconstruction.glb","mast3r/outputs/custom_millenium_falcon_scen_3/reconstruction.glb")</f>
        <v>mast3r/outputs/custom_millenium_falcon_scen_3/reconstruction.glb</v>
      </c>
      <c r="I195" s="6" t="s">
        <v>260</v>
      </c>
      <c r="J195" s="3" t="s">
        <v>25</v>
      </c>
      <c r="K195" s="3">
        <v>2</v>
      </c>
      <c r="L195" s="3">
        <v>2</v>
      </c>
      <c r="M195" s="3">
        <v>2</v>
      </c>
      <c r="N195" s="3">
        <v>2</v>
      </c>
      <c r="O195" s="4">
        <f t="shared" si="6"/>
        <v>8</v>
      </c>
      <c r="P195" s="3"/>
      <c r="Q195" s="6" t="str">
        <f t="shared" si="7"/>
        <v>OK</v>
      </c>
      <c r="R195" s="6" t="s">
        <v>261</v>
      </c>
    </row>
    <row r="196" spans="1:18" ht="33.950000000000003" customHeight="1" x14ac:dyDescent="0.25">
      <c r="A196" s="10">
        <v>195</v>
      </c>
      <c r="B196" s="2" t="s">
        <v>259</v>
      </c>
      <c r="C196" s="2" t="s">
        <v>67</v>
      </c>
      <c r="D196" s="2" t="s">
        <v>253</v>
      </c>
      <c r="E196" s="2" t="s">
        <v>162</v>
      </c>
      <c r="F196" s="10">
        <v>4</v>
      </c>
      <c r="G196" s="2" t="s">
        <v>27</v>
      </c>
      <c r="H196" s="7" t="str">
        <f>HYPERLINK("mapany/outputs/custom_millenium_falcon_scen_3/reconstruction.glb","mapany/outputs/custom_millenium_falcon_scen_3/reconstruction.glb")</f>
        <v>mapany/outputs/custom_millenium_falcon_scen_3/reconstruction.glb</v>
      </c>
      <c r="I196" s="6" t="s">
        <v>260</v>
      </c>
      <c r="J196" s="3" t="s">
        <v>25</v>
      </c>
      <c r="K196" s="3">
        <v>3</v>
      </c>
      <c r="L196" s="3">
        <v>2</v>
      </c>
      <c r="M196" s="3">
        <v>2</v>
      </c>
      <c r="N196" s="3">
        <v>2</v>
      </c>
      <c r="O196" s="4">
        <f t="shared" si="6"/>
        <v>9</v>
      </c>
      <c r="P196" s="3"/>
      <c r="Q196" s="6" t="str">
        <f t="shared" si="7"/>
        <v>OK</v>
      </c>
      <c r="R196" s="6" t="s">
        <v>261</v>
      </c>
    </row>
    <row r="197" spans="1:18" ht="33.950000000000003" customHeight="1" x14ac:dyDescent="0.25">
      <c r="A197" s="10">
        <v>196</v>
      </c>
      <c r="B197" s="2" t="s">
        <v>262</v>
      </c>
      <c r="C197" s="2" t="s">
        <v>67</v>
      </c>
      <c r="D197" s="2" t="s">
        <v>253</v>
      </c>
      <c r="E197" s="2" t="s">
        <v>162</v>
      </c>
      <c r="F197" s="10">
        <v>8</v>
      </c>
      <c r="G197" s="2" t="s">
        <v>23</v>
      </c>
      <c r="H197" s="7" t="str">
        <f>HYPERLINK("vggt/outputs/custom_millenium_falcon_scen_4/reconstruction.glb","vggt/outputs/custom_millenium_falcon_scen_4/reconstruction.glb")</f>
        <v>vggt/outputs/custom_millenium_falcon_scen_4/reconstruction.glb</v>
      </c>
      <c r="I197" s="6" t="s">
        <v>263</v>
      </c>
      <c r="J197" s="3" t="s">
        <v>25</v>
      </c>
      <c r="K197" s="3">
        <v>1</v>
      </c>
      <c r="L197" s="3">
        <v>2</v>
      </c>
      <c r="M197" s="3">
        <v>1</v>
      </c>
      <c r="N197" s="3">
        <v>2</v>
      </c>
      <c r="O197" s="4">
        <f t="shared" si="6"/>
        <v>6</v>
      </c>
      <c r="P197" s="3"/>
      <c r="Q197" s="6" t="str">
        <f t="shared" si="7"/>
        <v>OK</v>
      </c>
      <c r="R197" s="6" t="s">
        <v>264</v>
      </c>
    </row>
    <row r="198" spans="1:18" ht="33.950000000000003" customHeight="1" x14ac:dyDescent="0.25">
      <c r="A198" s="10">
        <v>197</v>
      </c>
      <c r="B198" s="2" t="s">
        <v>262</v>
      </c>
      <c r="C198" s="2" t="s">
        <v>67</v>
      </c>
      <c r="D198" s="2" t="s">
        <v>253</v>
      </c>
      <c r="E198" s="2" t="s">
        <v>162</v>
      </c>
      <c r="F198" s="10">
        <v>8</v>
      </c>
      <c r="G198" s="2" t="s">
        <v>31</v>
      </c>
      <c r="H198" s="7" t="str">
        <f>HYPERLINK("mast3r/outputs/custom_millenium_falcon_scen_4/reconstruction.glb","mast3r/outputs/custom_millenium_falcon_scen_4/reconstruction.glb")</f>
        <v>mast3r/outputs/custom_millenium_falcon_scen_4/reconstruction.glb</v>
      </c>
      <c r="I198" s="6" t="s">
        <v>263</v>
      </c>
      <c r="J198" s="3" t="s">
        <v>25</v>
      </c>
      <c r="K198" s="3">
        <v>2</v>
      </c>
      <c r="L198" s="3">
        <v>2</v>
      </c>
      <c r="M198" s="3">
        <v>1</v>
      </c>
      <c r="N198" s="3">
        <v>2</v>
      </c>
      <c r="O198" s="4">
        <f t="shared" si="6"/>
        <v>7</v>
      </c>
      <c r="P198" s="3"/>
      <c r="Q198" s="6" t="str">
        <f t="shared" si="7"/>
        <v>OK</v>
      </c>
      <c r="R198" s="6" t="s">
        <v>264</v>
      </c>
    </row>
    <row r="199" spans="1:18" ht="33.950000000000003" customHeight="1" x14ac:dyDescent="0.25">
      <c r="A199" s="10">
        <v>198</v>
      </c>
      <c r="B199" s="2" t="s">
        <v>262</v>
      </c>
      <c r="C199" s="2" t="s">
        <v>67</v>
      </c>
      <c r="D199" s="2" t="s">
        <v>253</v>
      </c>
      <c r="E199" s="2" t="s">
        <v>162</v>
      </c>
      <c r="F199" s="10">
        <v>8</v>
      </c>
      <c r="G199" s="2" t="s">
        <v>27</v>
      </c>
      <c r="H199" s="7" t="str">
        <f>HYPERLINK("mapany/outputs/custom_millenium_falcon_scen_4/reconstruction.glb","mapany/outputs/custom_millenium_falcon_scen_4/reconstruction.glb")</f>
        <v>mapany/outputs/custom_millenium_falcon_scen_4/reconstruction.glb</v>
      </c>
      <c r="I199" s="6" t="s">
        <v>263</v>
      </c>
      <c r="J199" s="3" t="s">
        <v>25</v>
      </c>
      <c r="K199" s="3">
        <v>3</v>
      </c>
      <c r="L199" s="3">
        <v>2</v>
      </c>
      <c r="M199" s="3">
        <v>2</v>
      </c>
      <c r="N199" s="3">
        <v>2</v>
      </c>
      <c r="O199" s="4">
        <f t="shared" si="6"/>
        <v>9</v>
      </c>
      <c r="P199" s="3"/>
      <c r="Q199" s="6" t="str">
        <f t="shared" si="7"/>
        <v>OK</v>
      </c>
      <c r="R199" s="6" t="s">
        <v>264</v>
      </c>
    </row>
    <row r="200" spans="1:18" ht="33.950000000000003" customHeight="1" x14ac:dyDescent="0.25">
      <c r="A200" s="10">
        <v>199</v>
      </c>
      <c r="B200" s="2" t="s">
        <v>265</v>
      </c>
      <c r="C200" s="2" t="s">
        <v>67</v>
      </c>
      <c r="D200" s="2" t="s">
        <v>266</v>
      </c>
      <c r="E200" s="2" t="s">
        <v>162</v>
      </c>
      <c r="F200" s="10">
        <v>1</v>
      </c>
      <c r="G200" s="2" t="s">
        <v>23</v>
      </c>
      <c r="H200" s="7" t="str">
        <f>HYPERLINK("vggt/outputs/custom_miscellaneous_scen_1/reconstruction.glb","vggt/outputs/custom_miscellaneous_scen_1/reconstruction.glb")</f>
        <v>vggt/outputs/custom_miscellaneous_scen_1/reconstruction.glb</v>
      </c>
      <c r="I200" s="6" t="s">
        <v>267</v>
      </c>
      <c r="J200" s="3" t="s">
        <v>25</v>
      </c>
      <c r="K200" s="3">
        <v>2</v>
      </c>
      <c r="L200" s="3">
        <v>2</v>
      </c>
      <c r="M200" s="3">
        <v>1</v>
      </c>
      <c r="N200" s="3">
        <v>2</v>
      </c>
      <c r="O200" s="4">
        <f t="shared" si="6"/>
        <v>7</v>
      </c>
      <c r="P200" s="3"/>
      <c r="Q200" s="6" t="str">
        <f t="shared" si="7"/>
        <v>OK</v>
      </c>
      <c r="R200" s="6" t="s">
        <v>268</v>
      </c>
    </row>
    <row r="201" spans="1:18" ht="33.950000000000003" customHeight="1" x14ac:dyDescent="0.25">
      <c r="A201" s="10">
        <v>200</v>
      </c>
      <c r="B201" s="2" t="s">
        <v>265</v>
      </c>
      <c r="C201" s="2" t="s">
        <v>67</v>
      </c>
      <c r="D201" s="2" t="s">
        <v>266</v>
      </c>
      <c r="E201" s="2" t="s">
        <v>162</v>
      </c>
      <c r="F201" s="10">
        <v>1</v>
      </c>
      <c r="G201" s="2" t="s">
        <v>27</v>
      </c>
      <c r="H201" s="7" t="str">
        <f>HYPERLINK("mapany/outputs/custom_miscellaneous_scen_1/reconstruction.glb","mapany/outputs/custom_miscellaneous_scen_1/reconstruction.glb")</f>
        <v>mapany/outputs/custom_miscellaneous_scen_1/reconstruction.glb</v>
      </c>
      <c r="I201" s="6" t="s">
        <v>267</v>
      </c>
      <c r="J201" s="3" t="s">
        <v>25</v>
      </c>
      <c r="K201" s="3">
        <v>3</v>
      </c>
      <c r="L201" s="3">
        <v>2</v>
      </c>
      <c r="M201" s="3">
        <v>2</v>
      </c>
      <c r="N201" s="3">
        <v>2</v>
      </c>
      <c r="O201" s="4">
        <f t="shared" si="6"/>
        <v>9</v>
      </c>
      <c r="P201" s="3"/>
      <c r="Q201" s="6" t="str">
        <f t="shared" si="7"/>
        <v>OK</v>
      </c>
      <c r="R201" s="6" t="s">
        <v>268</v>
      </c>
    </row>
    <row r="202" spans="1:18" ht="33.950000000000003" customHeight="1" x14ac:dyDescent="0.25">
      <c r="A202" s="10">
        <v>201</v>
      </c>
      <c r="B202" s="2" t="s">
        <v>269</v>
      </c>
      <c r="C202" s="2" t="s">
        <v>67</v>
      </c>
      <c r="D202" s="2" t="s">
        <v>266</v>
      </c>
      <c r="E202" s="2" t="s">
        <v>162</v>
      </c>
      <c r="F202" s="10">
        <v>2</v>
      </c>
      <c r="G202" s="2" t="s">
        <v>23</v>
      </c>
      <c r="H202" s="7" t="str">
        <f>HYPERLINK("vggt/outputs/custom_miscellaneous_scen_2/reconstruction.glb","vggt/outputs/custom_miscellaneous_scen_2/reconstruction.glb")</f>
        <v>vggt/outputs/custom_miscellaneous_scen_2/reconstruction.glb</v>
      </c>
      <c r="I202" s="6" t="s">
        <v>270</v>
      </c>
      <c r="J202" s="3" t="s">
        <v>25</v>
      </c>
      <c r="K202" s="3">
        <v>1</v>
      </c>
      <c r="L202" s="3">
        <v>2</v>
      </c>
      <c r="M202" s="3">
        <v>1</v>
      </c>
      <c r="N202" s="3">
        <v>2</v>
      </c>
      <c r="O202" s="4">
        <f t="shared" si="6"/>
        <v>6</v>
      </c>
      <c r="P202" s="3"/>
      <c r="Q202" s="6" t="str">
        <f t="shared" si="7"/>
        <v>OK</v>
      </c>
      <c r="R202" s="6" t="s">
        <v>271</v>
      </c>
    </row>
    <row r="203" spans="1:18" ht="33.950000000000003" customHeight="1" x14ac:dyDescent="0.25">
      <c r="A203" s="10">
        <v>202</v>
      </c>
      <c r="B203" s="2" t="s">
        <v>269</v>
      </c>
      <c r="C203" s="2" t="s">
        <v>67</v>
      </c>
      <c r="D203" s="2" t="s">
        <v>266</v>
      </c>
      <c r="E203" s="2" t="s">
        <v>162</v>
      </c>
      <c r="F203" s="10">
        <v>2</v>
      </c>
      <c r="G203" s="2" t="s">
        <v>31</v>
      </c>
      <c r="H203" s="7" t="str">
        <f>HYPERLINK("mast3r/outputs/custom_miscellaneous_scen_2/reconstruction.glb","mast3r/outputs/custom_miscellaneous_scen_2/reconstruction.glb")</f>
        <v>mast3r/outputs/custom_miscellaneous_scen_2/reconstruction.glb</v>
      </c>
      <c r="I203" s="6" t="s">
        <v>270</v>
      </c>
      <c r="J203" s="3" t="s">
        <v>25</v>
      </c>
      <c r="K203" s="3">
        <v>1</v>
      </c>
      <c r="L203" s="3">
        <v>1</v>
      </c>
      <c r="M203" s="3">
        <v>1</v>
      </c>
      <c r="N203" s="3">
        <v>2</v>
      </c>
      <c r="O203" s="4">
        <f t="shared" si="6"/>
        <v>5</v>
      </c>
      <c r="P203" s="3"/>
      <c r="Q203" s="6" t="str">
        <f t="shared" si="7"/>
        <v>OK</v>
      </c>
      <c r="R203" s="6" t="s">
        <v>271</v>
      </c>
    </row>
    <row r="204" spans="1:18" ht="33.950000000000003" customHeight="1" x14ac:dyDescent="0.25">
      <c r="A204" s="10">
        <v>203</v>
      </c>
      <c r="B204" s="2" t="s">
        <v>269</v>
      </c>
      <c r="C204" s="2" t="s">
        <v>67</v>
      </c>
      <c r="D204" s="2" t="s">
        <v>266</v>
      </c>
      <c r="E204" s="2" t="s">
        <v>162</v>
      </c>
      <c r="F204" s="10">
        <v>2</v>
      </c>
      <c r="G204" s="2" t="s">
        <v>27</v>
      </c>
      <c r="H204" s="7" t="str">
        <f>HYPERLINK("mapany/outputs/custom_miscellaneous_scen_2/reconstruction.glb","mapany/outputs/custom_miscellaneous_scen_2/reconstruction.glb")</f>
        <v>mapany/outputs/custom_miscellaneous_scen_2/reconstruction.glb</v>
      </c>
      <c r="I204" s="6" t="s">
        <v>270</v>
      </c>
      <c r="J204" s="3" t="s">
        <v>25</v>
      </c>
      <c r="K204" s="3">
        <v>3</v>
      </c>
      <c r="L204" s="3">
        <v>2</v>
      </c>
      <c r="M204" s="3">
        <v>2</v>
      </c>
      <c r="N204" s="3">
        <v>2</v>
      </c>
      <c r="O204" s="4">
        <f t="shared" si="6"/>
        <v>9</v>
      </c>
      <c r="P204" s="3"/>
      <c r="Q204" s="6" t="str">
        <f t="shared" si="7"/>
        <v>OK</v>
      </c>
      <c r="R204" s="6" t="s">
        <v>271</v>
      </c>
    </row>
    <row r="205" spans="1:18" ht="33.950000000000003" customHeight="1" x14ac:dyDescent="0.25">
      <c r="A205" s="10">
        <v>204</v>
      </c>
      <c r="B205" s="2" t="s">
        <v>272</v>
      </c>
      <c r="C205" s="2" t="s">
        <v>67</v>
      </c>
      <c r="D205" s="2" t="s">
        <v>266</v>
      </c>
      <c r="E205" s="2" t="s">
        <v>162</v>
      </c>
      <c r="F205" s="10">
        <v>4</v>
      </c>
      <c r="G205" s="2" t="s">
        <v>23</v>
      </c>
      <c r="H205" s="7" t="str">
        <f>HYPERLINK("vggt/outputs/custom_miscellaneous_scen_3/reconstruction.glb","vggt/outputs/custom_miscellaneous_scen_3/reconstruction.glb")</f>
        <v>vggt/outputs/custom_miscellaneous_scen_3/reconstruction.glb</v>
      </c>
      <c r="I205" s="6" t="s">
        <v>273</v>
      </c>
      <c r="J205" s="3" t="s">
        <v>25</v>
      </c>
      <c r="K205" s="3">
        <v>1</v>
      </c>
      <c r="L205" s="3">
        <v>2</v>
      </c>
      <c r="M205" s="3">
        <v>1</v>
      </c>
      <c r="N205" s="3">
        <v>2</v>
      </c>
      <c r="O205" s="4">
        <f t="shared" si="6"/>
        <v>6</v>
      </c>
      <c r="P205" s="3"/>
      <c r="Q205" s="6" t="str">
        <f t="shared" si="7"/>
        <v>OK</v>
      </c>
      <c r="R205" s="6" t="s">
        <v>274</v>
      </c>
    </row>
    <row r="206" spans="1:18" ht="33.950000000000003" customHeight="1" x14ac:dyDescent="0.25">
      <c r="A206" s="10">
        <v>205</v>
      </c>
      <c r="B206" s="2" t="s">
        <v>272</v>
      </c>
      <c r="C206" s="2" t="s">
        <v>67</v>
      </c>
      <c r="D206" s="2" t="s">
        <v>266</v>
      </c>
      <c r="E206" s="2" t="s">
        <v>162</v>
      </c>
      <c r="F206" s="10">
        <v>4</v>
      </c>
      <c r="G206" s="2" t="s">
        <v>31</v>
      </c>
      <c r="H206" s="7" t="str">
        <f>HYPERLINK("mast3r/outputs/custom_miscellaneous_scen_3/reconstruction.glb","mast3r/outputs/custom_miscellaneous_scen_3/reconstruction.glb")</f>
        <v>mast3r/outputs/custom_miscellaneous_scen_3/reconstruction.glb</v>
      </c>
      <c r="I206" s="6" t="s">
        <v>273</v>
      </c>
      <c r="J206" s="3" t="s">
        <v>25</v>
      </c>
      <c r="K206" s="3">
        <v>1</v>
      </c>
      <c r="L206" s="3">
        <v>1</v>
      </c>
      <c r="M206" s="3">
        <v>1</v>
      </c>
      <c r="N206" s="3">
        <v>2</v>
      </c>
      <c r="O206" s="4">
        <f t="shared" si="6"/>
        <v>5</v>
      </c>
      <c r="P206" s="3"/>
      <c r="Q206" s="6" t="str">
        <f t="shared" si="7"/>
        <v>OK</v>
      </c>
      <c r="R206" s="6" t="s">
        <v>274</v>
      </c>
    </row>
    <row r="207" spans="1:18" ht="33.950000000000003" customHeight="1" x14ac:dyDescent="0.25">
      <c r="A207" s="10">
        <v>206</v>
      </c>
      <c r="B207" s="2" t="s">
        <v>272</v>
      </c>
      <c r="C207" s="2" t="s">
        <v>67</v>
      </c>
      <c r="D207" s="2" t="s">
        <v>266</v>
      </c>
      <c r="E207" s="2" t="s">
        <v>162</v>
      </c>
      <c r="F207" s="10">
        <v>4</v>
      </c>
      <c r="G207" s="2" t="s">
        <v>27</v>
      </c>
      <c r="H207" s="7" t="str">
        <f>HYPERLINK("mapany/outputs/custom_miscellaneous_scen_3/reconstruction.glb","mapany/outputs/custom_miscellaneous_scen_3/reconstruction.glb")</f>
        <v>mapany/outputs/custom_miscellaneous_scen_3/reconstruction.glb</v>
      </c>
      <c r="I207" s="6" t="s">
        <v>273</v>
      </c>
      <c r="J207" s="3" t="s">
        <v>25</v>
      </c>
      <c r="K207" s="3">
        <v>3</v>
      </c>
      <c r="L207" s="3">
        <v>2</v>
      </c>
      <c r="M207" s="3">
        <v>2</v>
      </c>
      <c r="N207" s="3">
        <v>2</v>
      </c>
      <c r="O207" s="4">
        <f t="shared" si="6"/>
        <v>9</v>
      </c>
      <c r="P207" s="3"/>
      <c r="Q207" s="6" t="str">
        <f t="shared" si="7"/>
        <v>OK</v>
      </c>
      <c r="R207" s="6" t="s">
        <v>274</v>
      </c>
    </row>
    <row r="208" spans="1:18" ht="33.950000000000003" customHeight="1" x14ac:dyDescent="0.25">
      <c r="A208" s="10">
        <v>207</v>
      </c>
      <c r="B208" s="2" t="s">
        <v>275</v>
      </c>
      <c r="C208" s="2" t="s">
        <v>67</v>
      </c>
      <c r="D208" s="2" t="s">
        <v>266</v>
      </c>
      <c r="E208" s="2" t="s">
        <v>162</v>
      </c>
      <c r="F208" s="10">
        <v>8</v>
      </c>
      <c r="G208" s="2" t="s">
        <v>23</v>
      </c>
      <c r="H208" s="7" t="str">
        <f>HYPERLINK("vggt/outputs/custom_miscellaneous_scen_4/reconstruction.glb","vggt/outputs/custom_miscellaneous_scen_4/reconstruction.glb")</f>
        <v>vggt/outputs/custom_miscellaneous_scen_4/reconstruction.glb</v>
      </c>
      <c r="I208" s="6" t="s">
        <v>276</v>
      </c>
      <c r="J208" s="3" t="s">
        <v>25</v>
      </c>
      <c r="K208" s="3">
        <v>1</v>
      </c>
      <c r="L208" s="3">
        <v>2</v>
      </c>
      <c r="M208" s="3">
        <v>1</v>
      </c>
      <c r="N208" s="3">
        <v>2</v>
      </c>
      <c r="O208" s="4">
        <f t="shared" si="6"/>
        <v>6</v>
      </c>
      <c r="P208" s="3"/>
      <c r="Q208" s="6" t="str">
        <f t="shared" si="7"/>
        <v>OK</v>
      </c>
      <c r="R208" s="6" t="s">
        <v>277</v>
      </c>
    </row>
    <row r="209" spans="1:18" ht="33.950000000000003" customHeight="1" x14ac:dyDescent="0.25">
      <c r="A209" s="10">
        <v>208</v>
      </c>
      <c r="B209" s="2" t="s">
        <v>275</v>
      </c>
      <c r="C209" s="2" t="s">
        <v>67</v>
      </c>
      <c r="D209" s="2" t="s">
        <v>266</v>
      </c>
      <c r="E209" s="2" t="s">
        <v>162</v>
      </c>
      <c r="F209" s="10">
        <v>8</v>
      </c>
      <c r="G209" s="2" t="s">
        <v>31</v>
      </c>
      <c r="H209" s="7" t="str">
        <f>HYPERLINK("mast3r/outputs/custom_miscellaneous_scen_4/reconstruction.glb","mast3r/outputs/custom_miscellaneous_scen_4/reconstruction.glb")</f>
        <v>mast3r/outputs/custom_miscellaneous_scen_4/reconstruction.glb</v>
      </c>
      <c r="I209" s="6" t="s">
        <v>276</v>
      </c>
      <c r="J209" s="3" t="s">
        <v>25</v>
      </c>
      <c r="K209" s="3">
        <v>1</v>
      </c>
      <c r="L209" s="3">
        <v>2</v>
      </c>
      <c r="M209" s="3">
        <v>1</v>
      </c>
      <c r="N209" s="3">
        <v>2</v>
      </c>
      <c r="O209" s="4">
        <f t="shared" si="6"/>
        <v>6</v>
      </c>
      <c r="P209" s="3"/>
      <c r="Q209" s="6" t="str">
        <f t="shared" si="7"/>
        <v>OK</v>
      </c>
      <c r="R209" s="6" t="s">
        <v>277</v>
      </c>
    </row>
    <row r="210" spans="1:18" ht="33.950000000000003" customHeight="1" x14ac:dyDescent="0.25">
      <c r="A210" s="10">
        <v>209</v>
      </c>
      <c r="B210" s="2" t="s">
        <v>275</v>
      </c>
      <c r="C210" s="2" t="s">
        <v>67</v>
      </c>
      <c r="D210" s="2" t="s">
        <v>266</v>
      </c>
      <c r="E210" s="2" t="s">
        <v>162</v>
      </c>
      <c r="F210" s="10">
        <v>8</v>
      </c>
      <c r="G210" s="2" t="s">
        <v>27</v>
      </c>
      <c r="H210" s="7" t="str">
        <f>HYPERLINK("mapany/outputs/custom_miscellaneous_scen_4/reconstruction.glb","mapany/outputs/custom_miscellaneous_scen_4/reconstruction.glb")</f>
        <v>mapany/outputs/custom_miscellaneous_scen_4/reconstruction.glb</v>
      </c>
      <c r="I210" s="6" t="s">
        <v>276</v>
      </c>
      <c r="J210" s="3" t="s">
        <v>25</v>
      </c>
      <c r="K210" s="3">
        <v>3</v>
      </c>
      <c r="L210" s="3">
        <v>2</v>
      </c>
      <c r="M210" s="3">
        <v>1</v>
      </c>
      <c r="N210" s="3">
        <v>2</v>
      </c>
      <c r="O210" s="4">
        <f t="shared" si="6"/>
        <v>8</v>
      </c>
      <c r="P210" s="3"/>
      <c r="Q210" s="6" t="str">
        <f t="shared" si="7"/>
        <v>OK</v>
      </c>
      <c r="R210" s="6" t="s">
        <v>277</v>
      </c>
    </row>
    <row r="211" spans="1:18" ht="33.950000000000003" customHeight="1" x14ac:dyDescent="0.25">
      <c r="A211" s="10">
        <v>210</v>
      </c>
      <c r="B211" s="2" t="s">
        <v>278</v>
      </c>
      <c r="C211" s="2" t="s">
        <v>67</v>
      </c>
      <c r="D211" s="2" t="s">
        <v>279</v>
      </c>
      <c r="E211" s="2" t="s">
        <v>40</v>
      </c>
      <c r="F211" s="10">
        <v>1</v>
      </c>
      <c r="G211" s="2" t="s">
        <v>23</v>
      </c>
      <c r="H211" s="7" t="str">
        <f>HYPERLINK("vggt/outputs/custom_mural_bird_scen_1/reconstruction.glb","vggt/outputs/custom_mural_bird_scen_1/reconstruction.glb")</f>
        <v>vggt/outputs/custom_mural_bird_scen_1/reconstruction.glb</v>
      </c>
      <c r="I211" s="6" t="s">
        <v>280</v>
      </c>
      <c r="J211" s="3" t="s">
        <v>25</v>
      </c>
      <c r="K211" s="3">
        <v>1</v>
      </c>
      <c r="L211" s="3">
        <v>1</v>
      </c>
      <c r="M211" s="3">
        <v>3</v>
      </c>
      <c r="N211" s="3">
        <v>1</v>
      </c>
      <c r="O211" s="4">
        <f t="shared" si="6"/>
        <v>6</v>
      </c>
      <c r="P211" s="3"/>
      <c r="Q211" s="6" t="str">
        <f t="shared" si="7"/>
        <v>OK</v>
      </c>
      <c r="R211" s="6" t="s">
        <v>281</v>
      </c>
    </row>
    <row r="212" spans="1:18" ht="33.950000000000003" customHeight="1" x14ac:dyDescent="0.25">
      <c r="A212" s="10">
        <v>211</v>
      </c>
      <c r="B212" s="2" t="s">
        <v>278</v>
      </c>
      <c r="C212" s="2" t="s">
        <v>67</v>
      </c>
      <c r="D212" s="2" t="s">
        <v>279</v>
      </c>
      <c r="E212" s="2" t="s">
        <v>40</v>
      </c>
      <c r="F212" s="10">
        <v>1</v>
      </c>
      <c r="G212" s="2" t="s">
        <v>27</v>
      </c>
      <c r="H212" s="7" t="str">
        <f>HYPERLINK("mapany/outputs/custom_mural_bird_scen_1/reconstruction.glb","mapany/outputs/custom_mural_bird_scen_1/reconstruction.glb")</f>
        <v>mapany/outputs/custom_mural_bird_scen_1/reconstruction.glb</v>
      </c>
      <c r="I212" s="6" t="s">
        <v>280</v>
      </c>
      <c r="J212" s="3" t="s">
        <v>25</v>
      </c>
      <c r="K212" s="3">
        <v>3</v>
      </c>
      <c r="L212" s="3">
        <v>2</v>
      </c>
      <c r="M212" s="3">
        <v>2</v>
      </c>
      <c r="N212" s="3">
        <v>2</v>
      </c>
      <c r="O212" s="4">
        <f t="shared" si="6"/>
        <v>9</v>
      </c>
      <c r="P212" s="3"/>
      <c r="Q212" s="6" t="str">
        <f t="shared" si="7"/>
        <v>OK</v>
      </c>
      <c r="R212" s="6" t="s">
        <v>281</v>
      </c>
    </row>
    <row r="213" spans="1:18" ht="33.950000000000003" customHeight="1" x14ac:dyDescent="0.25">
      <c r="A213" s="10">
        <v>212</v>
      </c>
      <c r="B213" s="2" t="s">
        <v>282</v>
      </c>
      <c r="C213" s="2" t="s">
        <v>67</v>
      </c>
      <c r="D213" s="2" t="s">
        <v>279</v>
      </c>
      <c r="E213" s="2" t="s">
        <v>40</v>
      </c>
      <c r="F213" s="10">
        <v>2</v>
      </c>
      <c r="G213" s="2" t="s">
        <v>23</v>
      </c>
      <c r="H213" s="7" t="str">
        <f>HYPERLINK("vggt/outputs/custom_mural_bird_scen_2/reconstruction.glb","vggt/outputs/custom_mural_bird_scen_2/reconstruction.glb")</f>
        <v>vggt/outputs/custom_mural_bird_scen_2/reconstruction.glb</v>
      </c>
      <c r="I213" s="6" t="s">
        <v>283</v>
      </c>
      <c r="J213" s="3" t="s">
        <v>25</v>
      </c>
      <c r="K213" s="3">
        <v>2</v>
      </c>
      <c r="L213" s="3">
        <v>2</v>
      </c>
      <c r="M213" s="3">
        <v>3</v>
      </c>
      <c r="N213" s="3">
        <v>2</v>
      </c>
      <c r="O213" s="4">
        <f t="shared" si="6"/>
        <v>9</v>
      </c>
      <c r="P213" s="3"/>
      <c r="Q213" s="6" t="str">
        <f t="shared" si="7"/>
        <v>OK</v>
      </c>
      <c r="R213" s="6" t="s">
        <v>284</v>
      </c>
    </row>
    <row r="214" spans="1:18" ht="33.950000000000003" customHeight="1" x14ac:dyDescent="0.25">
      <c r="A214" s="10">
        <v>213</v>
      </c>
      <c r="B214" s="2" t="s">
        <v>282</v>
      </c>
      <c r="C214" s="2" t="s">
        <v>67</v>
      </c>
      <c r="D214" s="2" t="s">
        <v>279</v>
      </c>
      <c r="E214" s="2" t="s">
        <v>40</v>
      </c>
      <c r="F214" s="10">
        <v>2</v>
      </c>
      <c r="G214" s="2" t="s">
        <v>31</v>
      </c>
      <c r="H214" s="7" t="str">
        <f>HYPERLINK("mast3r/outputs/custom_mural_bird_scen_2/reconstruction.glb","mast3r/outputs/custom_mural_bird_scen_2/reconstruction.glb")</f>
        <v>mast3r/outputs/custom_mural_bird_scen_2/reconstruction.glb</v>
      </c>
      <c r="I214" s="6" t="s">
        <v>283</v>
      </c>
      <c r="J214" s="3" t="s">
        <v>25</v>
      </c>
      <c r="K214" s="3">
        <v>2</v>
      </c>
      <c r="L214" s="3">
        <v>1</v>
      </c>
      <c r="M214" s="3">
        <v>2</v>
      </c>
      <c r="N214" s="3">
        <v>2</v>
      </c>
      <c r="O214" s="4">
        <f t="shared" si="6"/>
        <v>7</v>
      </c>
      <c r="P214" s="3"/>
      <c r="Q214" s="6" t="str">
        <f t="shared" si="7"/>
        <v>OK</v>
      </c>
      <c r="R214" s="6" t="s">
        <v>284</v>
      </c>
    </row>
    <row r="215" spans="1:18" ht="33.950000000000003" customHeight="1" x14ac:dyDescent="0.25">
      <c r="A215" s="10">
        <v>214</v>
      </c>
      <c r="B215" s="2" t="s">
        <v>282</v>
      </c>
      <c r="C215" s="2" t="s">
        <v>67</v>
      </c>
      <c r="D215" s="2" t="s">
        <v>279</v>
      </c>
      <c r="E215" s="2" t="s">
        <v>40</v>
      </c>
      <c r="F215" s="10">
        <v>2</v>
      </c>
      <c r="G215" s="2" t="s">
        <v>27</v>
      </c>
      <c r="H215" s="7" t="str">
        <f>HYPERLINK("mapany/outputs/custom_mural_bird_scen_2/reconstruction.glb","mapany/outputs/custom_mural_bird_scen_2/reconstruction.glb")</f>
        <v>mapany/outputs/custom_mural_bird_scen_2/reconstruction.glb</v>
      </c>
      <c r="I215" s="6" t="s">
        <v>283</v>
      </c>
      <c r="J215" s="3" t="s">
        <v>25</v>
      </c>
      <c r="K215" s="3">
        <v>3</v>
      </c>
      <c r="L215" s="3">
        <v>2</v>
      </c>
      <c r="M215" s="3">
        <v>2</v>
      </c>
      <c r="N215" s="3">
        <v>2</v>
      </c>
      <c r="O215" s="4">
        <f t="shared" si="6"/>
        <v>9</v>
      </c>
      <c r="P215" s="3"/>
      <c r="Q215" s="6" t="str">
        <f t="shared" si="7"/>
        <v>OK</v>
      </c>
      <c r="R215" s="6" t="s">
        <v>284</v>
      </c>
    </row>
    <row r="216" spans="1:18" ht="33.950000000000003" customHeight="1" x14ac:dyDescent="0.25">
      <c r="A216" s="10">
        <v>215</v>
      </c>
      <c r="B216" s="2" t="s">
        <v>285</v>
      </c>
      <c r="C216" s="2" t="s">
        <v>67</v>
      </c>
      <c r="D216" s="2" t="s">
        <v>279</v>
      </c>
      <c r="E216" s="2" t="s">
        <v>40</v>
      </c>
      <c r="F216" s="10">
        <v>4</v>
      </c>
      <c r="G216" s="2" t="s">
        <v>23</v>
      </c>
      <c r="H216" s="7" t="str">
        <f>HYPERLINK("vggt/outputs/custom_mural_bird_scen_3/reconstruction.glb","vggt/outputs/custom_mural_bird_scen_3/reconstruction.glb")</f>
        <v>vggt/outputs/custom_mural_bird_scen_3/reconstruction.glb</v>
      </c>
      <c r="I216" s="6" t="s">
        <v>286</v>
      </c>
      <c r="J216" s="3" t="s">
        <v>25</v>
      </c>
      <c r="K216" s="3">
        <v>2</v>
      </c>
      <c r="L216" s="3">
        <v>3</v>
      </c>
      <c r="M216" s="3">
        <v>3</v>
      </c>
      <c r="N216" s="3">
        <v>2</v>
      </c>
      <c r="O216" s="4">
        <f t="shared" si="6"/>
        <v>10</v>
      </c>
      <c r="P216" s="3"/>
      <c r="Q216" s="6" t="str">
        <f t="shared" si="7"/>
        <v>OK</v>
      </c>
      <c r="R216" s="6" t="s">
        <v>287</v>
      </c>
    </row>
    <row r="217" spans="1:18" ht="33.950000000000003" customHeight="1" x14ac:dyDescent="0.25">
      <c r="A217" s="10">
        <v>216</v>
      </c>
      <c r="B217" s="2" t="s">
        <v>285</v>
      </c>
      <c r="C217" s="2" t="s">
        <v>67</v>
      </c>
      <c r="D217" s="2" t="s">
        <v>279</v>
      </c>
      <c r="E217" s="2" t="s">
        <v>40</v>
      </c>
      <c r="F217" s="10">
        <v>4</v>
      </c>
      <c r="G217" s="2" t="s">
        <v>31</v>
      </c>
      <c r="H217" s="7" t="str">
        <f>HYPERLINK("mast3r/outputs/custom_mural_bird_scen_3/reconstruction.glb","mast3r/outputs/custom_mural_bird_scen_3/reconstruction.glb")</f>
        <v>mast3r/outputs/custom_mural_bird_scen_3/reconstruction.glb</v>
      </c>
      <c r="I217" s="6" t="s">
        <v>286</v>
      </c>
      <c r="J217" s="3" t="s">
        <v>25</v>
      </c>
      <c r="K217" s="3">
        <v>2</v>
      </c>
      <c r="L217" s="3">
        <v>2</v>
      </c>
      <c r="M217" s="3">
        <v>3</v>
      </c>
      <c r="N217" s="3">
        <v>2</v>
      </c>
      <c r="O217" s="4">
        <f t="shared" si="6"/>
        <v>9</v>
      </c>
      <c r="P217" s="3"/>
      <c r="Q217" s="6" t="str">
        <f t="shared" si="7"/>
        <v>OK</v>
      </c>
      <c r="R217" s="6" t="s">
        <v>287</v>
      </c>
    </row>
    <row r="218" spans="1:18" ht="33.950000000000003" customHeight="1" x14ac:dyDescent="0.25">
      <c r="A218" s="10">
        <v>217</v>
      </c>
      <c r="B218" s="2" t="s">
        <v>285</v>
      </c>
      <c r="C218" s="2" t="s">
        <v>67</v>
      </c>
      <c r="D218" s="2" t="s">
        <v>279</v>
      </c>
      <c r="E218" s="2" t="s">
        <v>40</v>
      </c>
      <c r="F218" s="10">
        <v>4</v>
      </c>
      <c r="G218" s="2" t="s">
        <v>27</v>
      </c>
      <c r="H218" s="7" t="str">
        <f>HYPERLINK("mapany/outputs/custom_mural_bird_scen_3/reconstruction.glb","mapany/outputs/custom_mural_bird_scen_3/reconstruction.glb")</f>
        <v>mapany/outputs/custom_mural_bird_scen_3/reconstruction.glb</v>
      </c>
      <c r="I218" s="6" t="s">
        <v>286</v>
      </c>
      <c r="J218" s="3" t="s">
        <v>25</v>
      </c>
      <c r="K218" s="3">
        <v>3</v>
      </c>
      <c r="L218" s="3">
        <v>2</v>
      </c>
      <c r="M218" s="3">
        <v>1</v>
      </c>
      <c r="N218" s="3">
        <v>2</v>
      </c>
      <c r="O218" s="4">
        <f t="shared" si="6"/>
        <v>8</v>
      </c>
      <c r="P218" s="3"/>
      <c r="Q218" s="6" t="str">
        <f t="shared" si="7"/>
        <v>OK</v>
      </c>
      <c r="R218" s="6" t="s">
        <v>287</v>
      </c>
    </row>
    <row r="219" spans="1:18" ht="33.950000000000003" customHeight="1" x14ac:dyDescent="0.25">
      <c r="A219" s="10">
        <v>218</v>
      </c>
      <c r="B219" s="2" t="s">
        <v>288</v>
      </c>
      <c r="C219" s="2" t="s">
        <v>67</v>
      </c>
      <c r="D219" s="2" t="s">
        <v>279</v>
      </c>
      <c r="E219" s="2" t="s">
        <v>40</v>
      </c>
      <c r="F219" s="10">
        <v>8</v>
      </c>
      <c r="G219" s="2" t="s">
        <v>23</v>
      </c>
      <c r="H219" s="7" t="str">
        <f>HYPERLINK("vggt/outputs/custom_mural_bird_scen_4/reconstruction.glb","vggt/outputs/custom_mural_bird_scen_4/reconstruction.glb")</f>
        <v>vggt/outputs/custom_mural_bird_scen_4/reconstruction.glb</v>
      </c>
      <c r="I219" s="6" t="s">
        <v>289</v>
      </c>
      <c r="J219" s="3" t="s">
        <v>25</v>
      </c>
      <c r="K219" s="3">
        <v>1</v>
      </c>
      <c r="L219" s="3">
        <v>2</v>
      </c>
      <c r="M219" s="3">
        <v>2</v>
      </c>
      <c r="N219" s="3">
        <v>1</v>
      </c>
      <c r="O219" s="4">
        <f t="shared" si="6"/>
        <v>6</v>
      </c>
      <c r="P219" s="3"/>
      <c r="Q219" s="6" t="str">
        <f t="shared" si="7"/>
        <v>OK</v>
      </c>
      <c r="R219" s="6" t="s">
        <v>290</v>
      </c>
    </row>
    <row r="220" spans="1:18" ht="33.950000000000003" customHeight="1" x14ac:dyDescent="0.25">
      <c r="A220" s="10">
        <v>219</v>
      </c>
      <c r="B220" s="2" t="s">
        <v>288</v>
      </c>
      <c r="C220" s="2" t="s">
        <v>67</v>
      </c>
      <c r="D220" s="2" t="s">
        <v>279</v>
      </c>
      <c r="E220" s="2" t="s">
        <v>40</v>
      </c>
      <c r="F220" s="10">
        <v>8</v>
      </c>
      <c r="G220" s="2" t="s">
        <v>31</v>
      </c>
      <c r="H220" s="7" t="str">
        <f>HYPERLINK("mast3r/outputs/custom_mural_bird_scen_4/reconstruction.glb","mast3r/outputs/custom_mural_bird_scen_4/reconstruction.glb")</f>
        <v>mast3r/outputs/custom_mural_bird_scen_4/reconstruction.glb</v>
      </c>
      <c r="I220" s="6" t="s">
        <v>289</v>
      </c>
      <c r="J220" s="3" t="s">
        <v>25</v>
      </c>
      <c r="K220" s="3">
        <v>2</v>
      </c>
      <c r="L220" s="3">
        <v>2</v>
      </c>
      <c r="M220" s="3">
        <v>2</v>
      </c>
      <c r="N220" s="3">
        <v>2</v>
      </c>
      <c r="O220" s="4">
        <f t="shared" si="6"/>
        <v>8</v>
      </c>
      <c r="P220" s="3"/>
      <c r="Q220" s="6" t="str">
        <f t="shared" si="7"/>
        <v>OK</v>
      </c>
      <c r="R220" s="6" t="s">
        <v>290</v>
      </c>
    </row>
    <row r="221" spans="1:18" ht="33.950000000000003" customHeight="1" x14ac:dyDescent="0.25">
      <c r="A221" s="10">
        <v>220</v>
      </c>
      <c r="B221" s="2" t="s">
        <v>288</v>
      </c>
      <c r="C221" s="2" t="s">
        <v>67</v>
      </c>
      <c r="D221" s="2" t="s">
        <v>279</v>
      </c>
      <c r="E221" s="2" t="s">
        <v>40</v>
      </c>
      <c r="F221" s="10">
        <v>8</v>
      </c>
      <c r="G221" s="2" t="s">
        <v>27</v>
      </c>
      <c r="H221" s="7" t="str">
        <f>HYPERLINK("mapany/outputs/custom_mural_bird_scen_4/reconstruction.glb","mapany/outputs/custom_mural_bird_scen_4/reconstruction.glb")</f>
        <v>mapany/outputs/custom_mural_bird_scen_4/reconstruction.glb</v>
      </c>
      <c r="I221" s="6" t="s">
        <v>289</v>
      </c>
      <c r="J221" s="3" t="s">
        <v>25</v>
      </c>
      <c r="K221" s="3">
        <v>3</v>
      </c>
      <c r="L221" s="3">
        <v>2</v>
      </c>
      <c r="M221" s="3">
        <v>1</v>
      </c>
      <c r="N221" s="3">
        <v>2</v>
      </c>
      <c r="O221" s="4">
        <f t="shared" si="6"/>
        <v>8</v>
      </c>
      <c r="P221" s="3"/>
      <c r="Q221" s="6" t="str">
        <f t="shared" si="7"/>
        <v>OK</v>
      </c>
      <c r="R221" s="6" t="s">
        <v>290</v>
      </c>
    </row>
    <row r="222" spans="1:18" ht="33.950000000000003" customHeight="1" x14ac:dyDescent="0.25">
      <c r="A222" s="10">
        <v>221</v>
      </c>
      <c r="B222" s="2" t="s">
        <v>291</v>
      </c>
      <c r="C222" s="2" t="s">
        <v>67</v>
      </c>
      <c r="D222" s="2" t="s">
        <v>292</v>
      </c>
      <c r="E222" s="2" t="s">
        <v>40</v>
      </c>
      <c r="F222" s="10">
        <v>1</v>
      </c>
      <c r="G222" s="2" t="s">
        <v>23</v>
      </c>
      <c r="H222" s="7" t="str">
        <f>HYPERLINK("vggt/outputs/custom_mural_king_scen_1/reconstruction.glb","vggt/outputs/custom_mural_king_scen_1/reconstruction.glb")</f>
        <v>vggt/outputs/custom_mural_king_scen_1/reconstruction.glb</v>
      </c>
      <c r="I222" s="6" t="s">
        <v>293</v>
      </c>
      <c r="J222" s="3" t="s">
        <v>25</v>
      </c>
      <c r="K222" s="3">
        <v>2</v>
      </c>
      <c r="L222" s="3">
        <v>1</v>
      </c>
      <c r="M222" s="3">
        <v>3</v>
      </c>
      <c r="N222" s="3">
        <v>2</v>
      </c>
      <c r="O222" s="4">
        <f t="shared" si="6"/>
        <v>8</v>
      </c>
      <c r="P222" s="3"/>
      <c r="Q222" s="6" t="str">
        <f t="shared" si="7"/>
        <v>OK</v>
      </c>
      <c r="R222" s="6" t="s">
        <v>294</v>
      </c>
    </row>
    <row r="223" spans="1:18" ht="33.950000000000003" customHeight="1" x14ac:dyDescent="0.25">
      <c r="A223" s="10">
        <v>222</v>
      </c>
      <c r="B223" s="2" t="s">
        <v>291</v>
      </c>
      <c r="C223" s="2" t="s">
        <v>67</v>
      </c>
      <c r="D223" s="2" t="s">
        <v>292</v>
      </c>
      <c r="E223" s="2" t="s">
        <v>40</v>
      </c>
      <c r="F223" s="10">
        <v>1</v>
      </c>
      <c r="G223" s="2" t="s">
        <v>27</v>
      </c>
      <c r="H223" s="7" t="str">
        <f>HYPERLINK("mapany/outputs/custom_mural_king_scen_1/reconstruction.glb","mapany/outputs/custom_mural_king_scen_1/reconstruction.glb")</f>
        <v>mapany/outputs/custom_mural_king_scen_1/reconstruction.glb</v>
      </c>
      <c r="I223" s="6" t="s">
        <v>293</v>
      </c>
      <c r="J223" s="3" t="s">
        <v>25</v>
      </c>
      <c r="K223" s="3">
        <v>3</v>
      </c>
      <c r="L223" s="3">
        <v>2</v>
      </c>
      <c r="M223" s="3">
        <v>3</v>
      </c>
      <c r="N223" s="3">
        <v>2</v>
      </c>
      <c r="O223" s="4">
        <f t="shared" si="6"/>
        <v>10</v>
      </c>
      <c r="P223" s="3"/>
      <c r="Q223" s="6" t="str">
        <f t="shared" si="7"/>
        <v>OK</v>
      </c>
      <c r="R223" s="6" t="s">
        <v>294</v>
      </c>
    </row>
    <row r="224" spans="1:18" ht="33.950000000000003" customHeight="1" x14ac:dyDescent="0.25">
      <c r="A224" s="10">
        <v>223</v>
      </c>
      <c r="B224" s="2" t="s">
        <v>295</v>
      </c>
      <c r="C224" s="2" t="s">
        <v>67</v>
      </c>
      <c r="D224" s="2" t="s">
        <v>292</v>
      </c>
      <c r="E224" s="2" t="s">
        <v>40</v>
      </c>
      <c r="F224" s="10">
        <v>2</v>
      </c>
      <c r="G224" s="2" t="s">
        <v>23</v>
      </c>
      <c r="H224" s="7" t="str">
        <f>HYPERLINK("vggt/outputs/custom_mural_king_scen_2/reconstruction.glb","vggt/outputs/custom_mural_king_scen_2/reconstruction.glb")</f>
        <v>vggt/outputs/custom_mural_king_scen_2/reconstruction.glb</v>
      </c>
      <c r="I224" s="6" t="s">
        <v>296</v>
      </c>
      <c r="J224" s="3" t="s">
        <v>25</v>
      </c>
      <c r="K224" s="3">
        <v>2</v>
      </c>
      <c r="L224" s="3">
        <v>2</v>
      </c>
      <c r="M224" s="3">
        <v>2</v>
      </c>
      <c r="N224" s="3">
        <v>2</v>
      </c>
      <c r="O224" s="4">
        <f t="shared" si="6"/>
        <v>8</v>
      </c>
      <c r="P224" s="3"/>
      <c r="Q224" s="6" t="str">
        <f t="shared" si="7"/>
        <v>OK</v>
      </c>
      <c r="R224" s="6" t="s">
        <v>297</v>
      </c>
    </row>
    <row r="225" spans="1:18" ht="33.950000000000003" customHeight="1" x14ac:dyDescent="0.25">
      <c r="A225" s="10">
        <v>224</v>
      </c>
      <c r="B225" s="2" t="s">
        <v>295</v>
      </c>
      <c r="C225" s="2" t="s">
        <v>67</v>
      </c>
      <c r="D225" s="2" t="s">
        <v>292</v>
      </c>
      <c r="E225" s="2" t="s">
        <v>40</v>
      </c>
      <c r="F225" s="10">
        <v>2</v>
      </c>
      <c r="G225" s="2" t="s">
        <v>31</v>
      </c>
      <c r="H225" s="7" t="str">
        <f>HYPERLINK("mast3r/outputs/custom_mural_king_scen_2/reconstruction.glb","mast3r/outputs/custom_mural_king_scen_2/reconstruction.glb")</f>
        <v>mast3r/outputs/custom_mural_king_scen_2/reconstruction.glb</v>
      </c>
      <c r="I225" s="6" t="s">
        <v>296</v>
      </c>
      <c r="J225" s="3" t="s">
        <v>25</v>
      </c>
      <c r="K225" s="3">
        <v>2</v>
      </c>
      <c r="L225" s="3">
        <v>2</v>
      </c>
      <c r="M225" s="3">
        <v>1</v>
      </c>
      <c r="N225" s="3">
        <v>2</v>
      </c>
      <c r="O225" s="4">
        <f t="shared" si="6"/>
        <v>7</v>
      </c>
      <c r="P225" s="3"/>
      <c r="Q225" s="6" t="str">
        <f t="shared" si="7"/>
        <v>OK</v>
      </c>
      <c r="R225" s="6" t="s">
        <v>297</v>
      </c>
    </row>
    <row r="226" spans="1:18" ht="33.950000000000003" customHeight="1" x14ac:dyDescent="0.25">
      <c r="A226" s="10">
        <v>225</v>
      </c>
      <c r="B226" s="2" t="s">
        <v>295</v>
      </c>
      <c r="C226" s="2" t="s">
        <v>67</v>
      </c>
      <c r="D226" s="2" t="s">
        <v>292</v>
      </c>
      <c r="E226" s="2" t="s">
        <v>40</v>
      </c>
      <c r="F226" s="10">
        <v>2</v>
      </c>
      <c r="G226" s="2" t="s">
        <v>27</v>
      </c>
      <c r="H226" s="7" t="str">
        <f>HYPERLINK("mapany/outputs/custom_mural_king_scen_2/reconstruction.glb","mapany/outputs/custom_mural_king_scen_2/reconstruction.glb")</f>
        <v>mapany/outputs/custom_mural_king_scen_2/reconstruction.glb</v>
      </c>
      <c r="I226" s="6" t="s">
        <v>296</v>
      </c>
      <c r="J226" s="3" t="s">
        <v>25</v>
      </c>
      <c r="K226" s="3">
        <v>2</v>
      </c>
      <c r="L226" s="3">
        <v>2</v>
      </c>
      <c r="M226" s="3">
        <v>1</v>
      </c>
      <c r="N226" s="3">
        <v>2</v>
      </c>
      <c r="O226" s="4">
        <f t="shared" si="6"/>
        <v>7</v>
      </c>
      <c r="P226" s="3"/>
      <c r="Q226" s="6" t="str">
        <f t="shared" si="7"/>
        <v>OK</v>
      </c>
      <c r="R226" s="6" t="s">
        <v>297</v>
      </c>
    </row>
    <row r="227" spans="1:18" ht="33.950000000000003" customHeight="1" x14ac:dyDescent="0.25">
      <c r="A227" s="10">
        <v>226</v>
      </c>
      <c r="B227" s="2" t="s">
        <v>298</v>
      </c>
      <c r="C227" s="2" t="s">
        <v>67</v>
      </c>
      <c r="D227" s="2" t="s">
        <v>292</v>
      </c>
      <c r="E227" s="2" t="s">
        <v>40</v>
      </c>
      <c r="F227" s="10">
        <v>4</v>
      </c>
      <c r="G227" s="2" t="s">
        <v>23</v>
      </c>
      <c r="H227" s="7" t="str">
        <f>HYPERLINK("vggt/outputs/custom_mural_king_scen_3/reconstruction.glb","vggt/outputs/custom_mural_king_scen_3/reconstruction.glb")</f>
        <v>vggt/outputs/custom_mural_king_scen_3/reconstruction.glb</v>
      </c>
      <c r="I227" s="6" t="s">
        <v>299</v>
      </c>
      <c r="J227" s="3" t="s">
        <v>25</v>
      </c>
      <c r="K227" s="3">
        <v>2</v>
      </c>
      <c r="L227" s="3">
        <v>2</v>
      </c>
      <c r="M227" s="3">
        <v>2</v>
      </c>
      <c r="N227" s="3">
        <v>2</v>
      </c>
      <c r="O227" s="4">
        <f t="shared" si="6"/>
        <v>8</v>
      </c>
      <c r="P227" s="3"/>
      <c r="Q227" s="6" t="str">
        <f t="shared" si="7"/>
        <v>OK</v>
      </c>
      <c r="R227" s="6" t="s">
        <v>300</v>
      </c>
    </row>
    <row r="228" spans="1:18" ht="33.950000000000003" customHeight="1" x14ac:dyDescent="0.25">
      <c r="A228" s="10">
        <v>227</v>
      </c>
      <c r="B228" s="2" t="s">
        <v>298</v>
      </c>
      <c r="C228" s="2" t="s">
        <v>67</v>
      </c>
      <c r="D228" s="2" t="s">
        <v>292</v>
      </c>
      <c r="E228" s="2" t="s">
        <v>40</v>
      </c>
      <c r="F228" s="10">
        <v>4</v>
      </c>
      <c r="G228" s="2" t="s">
        <v>31</v>
      </c>
      <c r="H228" s="7" t="str">
        <f>HYPERLINK("mast3r/outputs/custom_mural_king_scen_3/reconstruction.glb","mast3r/outputs/custom_mural_king_scen_3/reconstruction.glb")</f>
        <v>mast3r/outputs/custom_mural_king_scen_3/reconstruction.glb</v>
      </c>
      <c r="I228" s="6" t="s">
        <v>299</v>
      </c>
      <c r="J228" s="3" t="s">
        <v>25</v>
      </c>
      <c r="K228" s="3">
        <v>3</v>
      </c>
      <c r="L228" s="3">
        <v>2</v>
      </c>
      <c r="M228" s="3">
        <v>2</v>
      </c>
      <c r="N228" s="3">
        <v>2</v>
      </c>
      <c r="O228" s="4">
        <f t="shared" si="6"/>
        <v>9</v>
      </c>
      <c r="P228" s="3"/>
      <c r="Q228" s="6" t="str">
        <f t="shared" si="7"/>
        <v>OK</v>
      </c>
      <c r="R228" s="6" t="s">
        <v>300</v>
      </c>
    </row>
    <row r="229" spans="1:18" ht="33.950000000000003" customHeight="1" x14ac:dyDescent="0.25">
      <c r="A229" s="10">
        <v>228</v>
      </c>
      <c r="B229" s="2" t="s">
        <v>298</v>
      </c>
      <c r="C229" s="2" t="s">
        <v>67</v>
      </c>
      <c r="D229" s="2" t="s">
        <v>292</v>
      </c>
      <c r="E229" s="2" t="s">
        <v>40</v>
      </c>
      <c r="F229" s="10">
        <v>4</v>
      </c>
      <c r="G229" s="2" t="s">
        <v>27</v>
      </c>
      <c r="H229" s="7" t="str">
        <f>HYPERLINK("mapany/outputs/custom_mural_king_scen_3/reconstruction.glb","mapany/outputs/custom_mural_king_scen_3/reconstruction.glb")</f>
        <v>mapany/outputs/custom_mural_king_scen_3/reconstruction.glb</v>
      </c>
      <c r="I229" s="6" t="s">
        <v>299</v>
      </c>
      <c r="J229" s="3" t="s">
        <v>25</v>
      </c>
      <c r="K229" s="3">
        <v>3</v>
      </c>
      <c r="L229" s="3">
        <v>2</v>
      </c>
      <c r="M229" s="3">
        <v>2</v>
      </c>
      <c r="N229" s="3">
        <v>2</v>
      </c>
      <c r="O229" s="4">
        <f t="shared" si="6"/>
        <v>9</v>
      </c>
      <c r="P229" s="3"/>
      <c r="Q229" s="6" t="str">
        <f t="shared" si="7"/>
        <v>OK</v>
      </c>
      <c r="R229" s="6" t="s">
        <v>300</v>
      </c>
    </row>
    <row r="230" spans="1:18" ht="33.950000000000003" customHeight="1" x14ac:dyDescent="0.25">
      <c r="A230" s="10">
        <v>229</v>
      </c>
      <c r="B230" s="2" t="s">
        <v>301</v>
      </c>
      <c r="C230" s="2" t="s">
        <v>67</v>
      </c>
      <c r="D230" s="2" t="s">
        <v>292</v>
      </c>
      <c r="E230" s="2" t="s">
        <v>40</v>
      </c>
      <c r="F230" s="10">
        <v>8</v>
      </c>
      <c r="G230" s="2" t="s">
        <v>23</v>
      </c>
      <c r="H230" s="7" t="str">
        <f>HYPERLINK("vggt/outputs/custom_mural_king_scen_4/reconstruction.glb","vggt/outputs/custom_mural_king_scen_4/reconstruction.glb")</f>
        <v>vggt/outputs/custom_mural_king_scen_4/reconstruction.glb</v>
      </c>
      <c r="I230" s="6" t="s">
        <v>302</v>
      </c>
      <c r="J230" s="3" t="s">
        <v>25</v>
      </c>
      <c r="K230" s="3">
        <v>2</v>
      </c>
      <c r="L230" s="3">
        <v>2</v>
      </c>
      <c r="M230" s="3">
        <v>2</v>
      </c>
      <c r="N230" s="3">
        <v>2</v>
      </c>
      <c r="O230" s="4">
        <f t="shared" si="6"/>
        <v>8</v>
      </c>
      <c r="P230" s="3"/>
      <c r="Q230" s="6" t="str">
        <f t="shared" si="7"/>
        <v>OK</v>
      </c>
      <c r="R230" s="6" t="s">
        <v>303</v>
      </c>
    </row>
    <row r="231" spans="1:18" ht="33.950000000000003" customHeight="1" x14ac:dyDescent="0.25">
      <c r="A231" s="10">
        <v>230</v>
      </c>
      <c r="B231" s="2" t="s">
        <v>301</v>
      </c>
      <c r="C231" s="2" t="s">
        <v>67</v>
      </c>
      <c r="D231" s="2" t="s">
        <v>292</v>
      </c>
      <c r="E231" s="2" t="s">
        <v>40</v>
      </c>
      <c r="F231" s="10">
        <v>8</v>
      </c>
      <c r="G231" s="2" t="s">
        <v>31</v>
      </c>
      <c r="H231" s="7" t="str">
        <f>HYPERLINK("mast3r/outputs/custom_mural_king_scen_4/reconstruction.glb","mast3r/outputs/custom_mural_king_scen_4/reconstruction.glb")</f>
        <v>mast3r/outputs/custom_mural_king_scen_4/reconstruction.glb</v>
      </c>
      <c r="I231" s="6" t="s">
        <v>302</v>
      </c>
      <c r="J231" s="3" t="s">
        <v>25</v>
      </c>
      <c r="K231" s="3">
        <v>3</v>
      </c>
      <c r="L231" s="3">
        <v>2</v>
      </c>
      <c r="M231" s="3">
        <v>2</v>
      </c>
      <c r="N231" s="3">
        <v>2</v>
      </c>
      <c r="O231" s="4">
        <f t="shared" si="6"/>
        <v>9</v>
      </c>
      <c r="P231" s="3"/>
      <c r="Q231" s="6" t="str">
        <f t="shared" si="7"/>
        <v>OK</v>
      </c>
      <c r="R231" s="6" t="s">
        <v>303</v>
      </c>
    </row>
    <row r="232" spans="1:18" ht="33.950000000000003" customHeight="1" x14ac:dyDescent="0.25">
      <c r="A232" s="10">
        <v>231</v>
      </c>
      <c r="B232" s="2" t="s">
        <v>301</v>
      </c>
      <c r="C232" s="2" t="s">
        <v>67</v>
      </c>
      <c r="D232" s="2" t="s">
        <v>292</v>
      </c>
      <c r="E232" s="2" t="s">
        <v>40</v>
      </c>
      <c r="F232" s="10">
        <v>8</v>
      </c>
      <c r="G232" s="2" t="s">
        <v>27</v>
      </c>
      <c r="H232" s="7" t="str">
        <f>HYPERLINK("mapany/outputs/custom_mural_king_scen_4/reconstruction.glb","mapany/outputs/custom_mural_king_scen_4/reconstruction.glb")</f>
        <v>mapany/outputs/custom_mural_king_scen_4/reconstruction.glb</v>
      </c>
      <c r="I232" s="6" t="s">
        <v>302</v>
      </c>
      <c r="J232" s="3" t="s">
        <v>25</v>
      </c>
      <c r="K232" s="3">
        <v>3</v>
      </c>
      <c r="L232" s="3">
        <v>2</v>
      </c>
      <c r="M232" s="3">
        <v>2</v>
      </c>
      <c r="N232" s="3">
        <v>2</v>
      </c>
      <c r="O232" s="4">
        <f t="shared" si="6"/>
        <v>9</v>
      </c>
      <c r="P232" s="3"/>
      <c r="Q232" s="6" t="str">
        <f t="shared" si="7"/>
        <v>OK</v>
      </c>
      <c r="R232" s="6" t="s">
        <v>303</v>
      </c>
    </row>
    <row r="233" spans="1:18" ht="33.950000000000003" customHeight="1" x14ac:dyDescent="0.25">
      <c r="A233" s="10">
        <v>232</v>
      </c>
      <c r="B233" s="2" t="s">
        <v>304</v>
      </c>
      <c r="C233" s="2" t="s">
        <v>20</v>
      </c>
      <c r="D233" s="2" t="s">
        <v>305</v>
      </c>
      <c r="E233" s="2" t="s">
        <v>40</v>
      </c>
      <c r="F233" s="10">
        <v>1</v>
      </c>
      <c r="G233" s="2" t="s">
        <v>23</v>
      </c>
      <c r="H233" s="7" t="str">
        <f>HYPERLINK("vggt/outputs/eth3d_observatory_scen_1/reconstruction.glb","vggt/outputs/eth3d_observatory_scen_1/reconstruction.glb")</f>
        <v>vggt/outputs/eth3d_observatory_scen_1/reconstruction.glb</v>
      </c>
      <c r="I233" s="6" t="s">
        <v>306</v>
      </c>
      <c r="J233" s="3" t="s">
        <v>25</v>
      </c>
      <c r="K233" s="3">
        <v>1</v>
      </c>
      <c r="L233" s="3">
        <v>2</v>
      </c>
      <c r="M233" s="3">
        <v>2</v>
      </c>
      <c r="N233" s="3">
        <v>1</v>
      </c>
      <c r="O233" s="4">
        <f t="shared" si="6"/>
        <v>6</v>
      </c>
      <c r="P233" s="3"/>
      <c r="Q233" s="6" t="str">
        <f t="shared" si="7"/>
        <v>OK</v>
      </c>
      <c r="R233" s="6" t="s">
        <v>307</v>
      </c>
    </row>
    <row r="234" spans="1:18" ht="33.950000000000003" customHeight="1" x14ac:dyDescent="0.25">
      <c r="A234" s="10">
        <v>233</v>
      </c>
      <c r="B234" s="2" t="s">
        <v>304</v>
      </c>
      <c r="C234" s="2" t="s">
        <v>20</v>
      </c>
      <c r="D234" s="2" t="s">
        <v>305</v>
      </c>
      <c r="E234" s="2" t="s">
        <v>40</v>
      </c>
      <c r="F234" s="10">
        <v>1</v>
      </c>
      <c r="G234" s="2" t="s">
        <v>27</v>
      </c>
      <c r="H234" s="7" t="str">
        <f>HYPERLINK("mapany/outputs/eth3d_observatory_scen_1/reconstruction.glb","mapany/outputs/eth3d_observatory_scen_1/reconstruction.glb")</f>
        <v>mapany/outputs/eth3d_observatory_scen_1/reconstruction.glb</v>
      </c>
      <c r="I234" s="6" t="s">
        <v>306</v>
      </c>
      <c r="J234" s="3" t="s">
        <v>25</v>
      </c>
      <c r="K234" s="3">
        <v>3</v>
      </c>
      <c r="L234" s="3">
        <v>2</v>
      </c>
      <c r="M234" s="3">
        <v>3</v>
      </c>
      <c r="N234" s="3">
        <v>2</v>
      </c>
      <c r="O234" s="4">
        <f t="shared" si="6"/>
        <v>10</v>
      </c>
      <c r="P234" s="3"/>
      <c r="Q234" s="6" t="str">
        <f t="shared" si="7"/>
        <v>OK</v>
      </c>
      <c r="R234" s="6" t="s">
        <v>307</v>
      </c>
    </row>
    <row r="235" spans="1:18" ht="33.950000000000003" customHeight="1" x14ac:dyDescent="0.25">
      <c r="A235" s="10">
        <v>234</v>
      </c>
      <c r="B235" s="2" t="s">
        <v>308</v>
      </c>
      <c r="C235" s="2" t="s">
        <v>20</v>
      </c>
      <c r="D235" s="2" t="s">
        <v>305</v>
      </c>
      <c r="E235" s="2" t="s">
        <v>40</v>
      </c>
      <c r="F235" s="10">
        <v>2</v>
      </c>
      <c r="G235" s="2" t="s">
        <v>23</v>
      </c>
      <c r="H235" s="7" t="str">
        <f>HYPERLINK("vggt/outputs/eth3d_observatory_scen_2/reconstruction.glb","vggt/outputs/eth3d_observatory_scen_2/reconstruction.glb")</f>
        <v>vggt/outputs/eth3d_observatory_scen_2/reconstruction.glb</v>
      </c>
      <c r="I235" s="6" t="s">
        <v>309</v>
      </c>
      <c r="J235" s="3" t="s">
        <v>25</v>
      </c>
      <c r="K235" s="3">
        <v>1</v>
      </c>
      <c r="L235" s="3">
        <v>2</v>
      </c>
      <c r="M235" s="3">
        <v>1</v>
      </c>
      <c r="N235" s="3">
        <v>1</v>
      </c>
      <c r="O235" s="4">
        <f t="shared" si="6"/>
        <v>5</v>
      </c>
      <c r="P235" s="3"/>
      <c r="Q235" s="6" t="str">
        <f t="shared" si="7"/>
        <v>OK</v>
      </c>
      <c r="R235" s="6" t="s">
        <v>310</v>
      </c>
    </row>
    <row r="236" spans="1:18" ht="33.950000000000003" customHeight="1" x14ac:dyDescent="0.25">
      <c r="A236" s="10">
        <v>235</v>
      </c>
      <c r="B236" s="2" t="s">
        <v>308</v>
      </c>
      <c r="C236" s="2" t="s">
        <v>20</v>
      </c>
      <c r="D236" s="2" t="s">
        <v>305</v>
      </c>
      <c r="E236" s="2" t="s">
        <v>40</v>
      </c>
      <c r="F236" s="10">
        <v>2</v>
      </c>
      <c r="G236" s="2" t="s">
        <v>31</v>
      </c>
      <c r="H236" s="7" t="str">
        <f>HYPERLINK("mast3r/outputs/eth3d_observatory_scen_2/reconstruction.glb","mast3r/outputs/eth3d_observatory_scen_2/reconstruction.glb")</f>
        <v>mast3r/outputs/eth3d_observatory_scen_2/reconstruction.glb</v>
      </c>
      <c r="I236" s="6" t="s">
        <v>309</v>
      </c>
      <c r="J236" s="3" t="s">
        <v>25</v>
      </c>
      <c r="K236" s="3">
        <v>1</v>
      </c>
      <c r="L236" s="3">
        <v>2</v>
      </c>
      <c r="M236" s="3">
        <v>2</v>
      </c>
      <c r="N236" s="3">
        <v>1</v>
      </c>
      <c r="O236" s="4">
        <f t="shared" si="6"/>
        <v>6</v>
      </c>
      <c r="P236" s="3"/>
      <c r="Q236" s="6" t="str">
        <f t="shared" si="7"/>
        <v>OK</v>
      </c>
      <c r="R236" s="6" t="s">
        <v>310</v>
      </c>
    </row>
    <row r="237" spans="1:18" ht="33.950000000000003" customHeight="1" x14ac:dyDescent="0.25">
      <c r="A237" s="10">
        <v>236</v>
      </c>
      <c r="B237" s="2" t="s">
        <v>308</v>
      </c>
      <c r="C237" s="2" t="s">
        <v>20</v>
      </c>
      <c r="D237" s="2" t="s">
        <v>305</v>
      </c>
      <c r="E237" s="2" t="s">
        <v>40</v>
      </c>
      <c r="F237" s="10">
        <v>2</v>
      </c>
      <c r="G237" s="2" t="s">
        <v>27</v>
      </c>
      <c r="H237" s="7" t="str">
        <f>HYPERLINK("mapany/outputs/eth3d_observatory_scen_2/reconstruction.glb","mapany/outputs/eth3d_observatory_scen_2/reconstruction.glb")</f>
        <v>mapany/outputs/eth3d_observatory_scen_2/reconstruction.glb</v>
      </c>
      <c r="I237" s="6" t="s">
        <v>309</v>
      </c>
      <c r="J237" s="3" t="s">
        <v>25</v>
      </c>
      <c r="K237" s="3">
        <v>3</v>
      </c>
      <c r="L237" s="3">
        <v>2</v>
      </c>
      <c r="M237" s="3">
        <v>2</v>
      </c>
      <c r="N237" s="3">
        <v>3</v>
      </c>
      <c r="O237" s="4">
        <f t="shared" si="6"/>
        <v>10</v>
      </c>
      <c r="P237" s="3"/>
      <c r="Q237" s="6" t="str">
        <f t="shared" si="7"/>
        <v>OK</v>
      </c>
      <c r="R237" s="6" t="s">
        <v>310</v>
      </c>
    </row>
    <row r="238" spans="1:18" ht="33.950000000000003" customHeight="1" x14ac:dyDescent="0.25">
      <c r="A238" s="10">
        <v>237</v>
      </c>
      <c r="B238" s="2" t="s">
        <v>311</v>
      </c>
      <c r="C238" s="2" t="s">
        <v>20</v>
      </c>
      <c r="D238" s="2" t="s">
        <v>305</v>
      </c>
      <c r="E238" s="2" t="s">
        <v>40</v>
      </c>
      <c r="F238" s="10">
        <v>4</v>
      </c>
      <c r="G238" s="2" t="s">
        <v>23</v>
      </c>
      <c r="H238" s="7" t="str">
        <f>HYPERLINK("vggt/outputs/eth3d_observatory_scen_3/reconstruction.glb","vggt/outputs/eth3d_observatory_scen_3/reconstruction.glb")</f>
        <v>vggt/outputs/eth3d_observatory_scen_3/reconstruction.glb</v>
      </c>
      <c r="I238" s="6" t="s">
        <v>312</v>
      </c>
      <c r="J238" s="3" t="s">
        <v>25</v>
      </c>
      <c r="K238" s="3">
        <v>2</v>
      </c>
      <c r="L238" s="3">
        <v>2</v>
      </c>
      <c r="M238" s="3">
        <v>2</v>
      </c>
      <c r="N238" s="3">
        <v>2</v>
      </c>
      <c r="O238" s="4">
        <f t="shared" si="6"/>
        <v>8</v>
      </c>
      <c r="P238" s="3"/>
      <c r="Q238" s="6" t="str">
        <f t="shared" si="7"/>
        <v>OK</v>
      </c>
      <c r="R238" s="6" t="s">
        <v>313</v>
      </c>
    </row>
    <row r="239" spans="1:18" ht="33.950000000000003" customHeight="1" x14ac:dyDescent="0.25">
      <c r="A239" s="10">
        <v>238</v>
      </c>
      <c r="B239" s="2" t="s">
        <v>311</v>
      </c>
      <c r="C239" s="2" t="s">
        <v>20</v>
      </c>
      <c r="D239" s="2" t="s">
        <v>305</v>
      </c>
      <c r="E239" s="2" t="s">
        <v>40</v>
      </c>
      <c r="F239" s="10">
        <v>4</v>
      </c>
      <c r="G239" s="2" t="s">
        <v>31</v>
      </c>
      <c r="H239" s="7" t="str">
        <f>HYPERLINK("mast3r/outputs/eth3d_observatory_scen_3/reconstruction.glb","mast3r/outputs/eth3d_observatory_scen_3/reconstruction.glb")</f>
        <v>mast3r/outputs/eth3d_observatory_scen_3/reconstruction.glb</v>
      </c>
      <c r="I239" s="6" t="s">
        <v>312</v>
      </c>
      <c r="J239" s="3" t="s">
        <v>25</v>
      </c>
      <c r="K239" s="3">
        <v>2</v>
      </c>
      <c r="L239" s="3">
        <v>2</v>
      </c>
      <c r="M239" s="3">
        <v>2</v>
      </c>
      <c r="N239" s="3">
        <v>1</v>
      </c>
      <c r="O239" s="4">
        <f t="shared" si="6"/>
        <v>7</v>
      </c>
      <c r="P239" s="3"/>
      <c r="Q239" s="6" t="str">
        <f t="shared" si="7"/>
        <v>OK</v>
      </c>
      <c r="R239" s="6" t="s">
        <v>313</v>
      </c>
    </row>
    <row r="240" spans="1:18" ht="33.950000000000003" customHeight="1" x14ac:dyDescent="0.25">
      <c r="A240" s="10">
        <v>239</v>
      </c>
      <c r="B240" s="2" t="s">
        <v>311</v>
      </c>
      <c r="C240" s="2" t="s">
        <v>20</v>
      </c>
      <c r="D240" s="2" t="s">
        <v>305</v>
      </c>
      <c r="E240" s="2" t="s">
        <v>40</v>
      </c>
      <c r="F240" s="10">
        <v>4</v>
      </c>
      <c r="G240" s="2" t="s">
        <v>27</v>
      </c>
      <c r="H240" s="7" t="str">
        <f>HYPERLINK("mapany/outputs/eth3d_observatory_scen_3/reconstruction.glb","mapany/outputs/eth3d_observatory_scen_3/reconstruction.glb")</f>
        <v>mapany/outputs/eth3d_observatory_scen_3/reconstruction.glb</v>
      </c>
      <c r="I240" s="6" t="s">
        <v>312</v>
      </c>
      <c r="J240" s="3" t="s">
        <v>25</v>
      </c>
      <c r="K240" s="3">
        <v>3</v>
      </c>
      <c r="L240" s="3">
        <v>2</v>
      </c>
      <c r="M240" s="3">
        <v>1</v>
      </c>
      <c r="N240" s="3">
        <v>2</v>
      </c>
      <c r="O240" s="4">
        <f t="shared" si="6"/>
        <v>8</v>
      </c>
      <c r="P240" s="3"/>
      <c r="Q240" s="6" t="str">
        <f t="shared" si="7"/>
        <v>OK</v>
      </c>
      <c r="R240" s="6" t="s">
        <v>313</v>
      </c>
    </row>
    <row r="241" spans="1:18" ht="33.950000000000003" customHeight="1" x14ac:dyDescent="0.25">
      <c r="A241" s="10">
        <v>240</v>
      </c>
      <c r="B241" s="2" t="s">
        <v>314</v>
      </c>
      <c r="C241" s="2" t="s">
        <v>20</v>
      </c>
      <c r="D241" s="2" t="s">
        <v>305</v>
      </c>
      <c r="E241" s="2" t="s">
        <v>40</v>
      </c>
      <c r="F241" s="10">
        <v>8</v>
      </c>
      <c r="G241" s="2" t="s">
        <v>23</v>
      </c>
      <c r="H241" s="7" t="str">
        <f>HYPERLINK("vggt/outputs/eth3d_observatory_scen_4/reconstruction.glb","vggt/outputs/eth3d_observatory_scen_4/reconstruction.glb")</f>
        <v>vggt/outputs/eth3d_observatory_scen_4/reconstruction.glb</v>
      </c>
      <c r="I241" s="6" t="s">
        <v>315</v>
      </c>
      <c r="J241" s="3" t="s">
        <v>25</v>
      </c>
      <c r="K241" s="3">
        <v>2</v>
      </c>
      <c r="L241" s="3">
        <v>1</v>
      </c>
      <c r="M241" s="3">
        <v>2</v>
      </c>
      <c r="N241" s="3">
        <v>2</v>
      </c>
      <c r="O241" s="4">
        <f t="shared" si="6"/>
        <v>7</v>
      </c>
      <c r="P241" s="3"/>
      <c r="Q241" s="6" t="str">
        <f t="shared" si="7"/>
        <v>OK</v>
      </c>
      <c r="R241" s="6" t="s">
        <v>316</v>
      </c>
    </row>
    <row r="242" spans="1:18" ht="33.950000000000003" customHeight="1" x14ac:dyDescent="0.25">
      <c r="A242" s="10">
        <v>241</v>
      </c>
      <c r="B242" s="2" t="s">
        <v>314</v>
      </c>
      <c r="C242" s="2" t="s">
        <v>20</v>
      </c>
      <c r="D242" s="2" t="s">
        <v>305</v>
      </c>
      <c r="E242" s="2" t="s">
        <v>40</v>
      </c>
      <c r="F242" s="10">
        <v>8</v>
      </c>
      <c r="G242" s="2" t="s">
        <v>31</v>
      </c>
      <c r="H242" s="7" t="str">
        <f>HYPERLINK("mast3r/outputs/eth3d_observatory_scen_4/reconstruction.glb","mast3r/outputs/eth3d_observatory_scen_4/reconstruction.glb")</f>
        <v>mast3r/outputs/eth3d_observatory_scen_4/reconstruction.glb</v>
      </c>
      <c r="I242" s="6" t="s">
        <v>315</v>
      </c>
      <c r="J242" s="3" t="s">
        <v>25</v>
      </c>
      <c r="K242" s="3">
        <v>2</v>
      </c>
      <c r="L242" s="3">
        <v>1</v>
      </c>
      <c r="M242" s="3">
        <v>2</v>
      </c>
      <c r="N242" s="3">
        <v>1</v>
      </c>
      <c r="O242" s="4">
        <f t="shared" si="6"/>
        <v>6</v>
      </c>
      <c r="P242" s="3"/>
      <c r="Q242" s="6" t="str">
        <f t="shared" si="7"/>
        <v>OK</v>
      </c>
      <c r="R242" s="6" t="s">
        <v>316</v>
      </c>
    </row>
    <row r="243" spans="1:18" ht="33.950000000000003" customHeight="1" x14ac:dyDescent="0.25">
      <c r="A243" s="10">
        <v>242</v>
      </c>
      <c r="B243" s="2" t="s">
        <v>314</v>
      </c>
      <c r="C243" s="2" t="s">
        <v>20</v>
      </c>
      <c r="D243" s="2" t="s">
        <v>305</v>
      </c>
      <c r="E243" s="2" t="s">
        <v>40</v>
      </c>
      <c r="F243" s="10">
        <v>8</v>
      </c>
      <c r="G243" s="2" t="s">
        <v>27</v>
      </c>
      <c r="H243" s="7" t="str">
        <f>HYPERLINK("mapany/outputs/eth3d_observatory_scen_4/reconstruction.glb","mapany/outputs/eth3d_observatory_scen_4/reconstruction.glb")</f>
        <v>mapany/outputs/eth3d_observatory_scen_4/reconstruction.glb</v>
      </c>
      <c r="I243" s="6" t="s">
        <v>315</v>
      </c>
      <c r="J243" s="3" t="s">
        <v>25</v>
      </c>
      <c r="K243" s="3">
        <v>3</v>
      </c>
      <c r="L243" s="3">
        <v>2</v>
      </c>
      <c r="M243" s="3">
        <v>1</v>
      </c>
      <c r="N243" s="3">
        <v>2</v>
      </c>
      <c r="O243" s="4">
        <f t="shared" si="6"/>
        <v>8</v>
      </c>
      <c r="P243" s="3"/>
      <c r="Q243" s="6" t="str">
        <f t="shared" si="7"/>
        <v>OK</v>
      </c>
      <c r="R243" s="6" t="s">
        <v>316</v>
      </c>
    </row>
    <row r="244" spans="1:18" ht="33.950000000000003" customHeight="1" x14ac:dyDescent="0.25">
      <c r="A244" s="10">
        <v>243</v>
      </c>
      <c r="B244" s="2" t="s">
        <v>317</v>
      </c>
      <c r="C244" s="2" t="s">
        <v>67</v>
      </c>
      <c r="D244" s="2" t="s">
        <v>318</v>
      </c>
      <c r="E244" s="2" t="s">
        <v>54</v>
      </c>
      <c r="F244" s="10">
        <v>1</v>
      </c>
      <c r="G244" s="2" t="s">
        <v>23</v>
      </c>
      <c r="H244" s="7" t="str">
        <f>HYPERLINK("vggt/outputs/custom_office_scen_1/reconstruction.glb","vggt/outputs/custom_office_scen_1/reconstruction.glb")</f>
        <v>vggt/outputs/custom_office_scen_1/reconstruction.glb</v>
      </c>
      <c r="I244" s="6" t="s">
        <v>319</v>
      </c>
      <c r="J244" s="3" t="s">
        <v>25</v>
      </c>
      <c r="K244" s="3">
        <v>1</v>
      </c>
      <c r="L244" s="3">
        <v>2</v>
      </c>
      <c r="M244" s="3">
        <v>1</v>
      </c>
      <c r="N244" s="3">
        <v>2</v>
      </c>
      <c r="O244" s="4">
        <f t="shared" si="6"/>
        <v>6</v>
      </c>
      <c r="P244" s="3"/>
      <c r="Q244" s="6" t="str">
        <f t="shared" si="7"/>
        <v>OK</v>
      </c>
      <c r="R244" s="6" t="s">
        <v>320</v>
      </c>
    </row>
    <row r="245" spans="1:18" ht="33.950000000000003" customHeight="1" x14ac:dyDescent="0.25">
      <c r="A245" s="10">
        <v>244</v>
      </c>
      <c r="B245" s="2" t="s">
        <v>317</v>
      </c>
      <c r="C245" s="2" t="s">
        <v>67</v>
      </c>
      <c r="D245" s="2" t="s">
        <v>318</v>
      </c>
      <c r="E245" s="2" t="s">
        <v>54</v>
      </c>
      <c r="F245" s="10">
        <v>1</v>
      </c>
      <c r="G245" s="2" t="s">
        <v>27</v>
      </c>
      <c r="H245" s="7" t="str">
        <f>HYPERLINK("mapany/outputs/custom_office_scen_1/reconstruction.glb","mapany/outputs/custom_office_scen_1/reconstruction.glb")</f>
        <v>mapany/outputs/custom_office_scen_1/reconstruction.glb</v>
      </c>
      <c r="I245" s="6" t="s">
        <v>319</v>
      </c>
      <c r="J245" s="3" t="s">
        <v>25</v>
      </c>
      <c r="K245" s="3">
        <v>2</v>
      </c>
      <c r="L245" s="3">
        <v>2</v>
      </c>
      <c r="M245" s="3">
        <v>2</v>
      </c>
      <c r="N245" s="3">
        <v>2</v>
      </c>
      <c r="O245" s="4">
        <f t="shared" si="6"/>
        <v>8</v>
      </c>
      <c r="P245" s="3"/>
      <c r="Q245" s="6" t="str">
        <f t="shared" si="7"/>
        <v>OK</v>
      </c>
      <c r="R245" s="6" t="s">
        <v>320</v>
      </c>
    </row>
    <row r="246" spans="1:18" ht="33.950000000000003" customHeight="1" x14ac:dyDescent="0.25">
      <c r="A246" s="10">
        <v>245</v>
      </c>
      <c r="B246" s="2" t="s">
        <v>321</v>
      </c>
      <c r="C246" s="2" t="s">
        <v>67</v>
      </c>
      <c r="D246" s="2" t="s">
        <v>318</v>
      </c>
      <c r="E246" s="2" t="s">
        <v>54</v>
      </c>
      <c r="F246" s="10">
        <v>2</v>
      </c>
      <c r="G246" s="2" t="s">
        <v>23</v>
      </c>
      <c r="H246" s="7" t="str">
        <f>HYPERLINK("vggt/outputs/custom_office_scen_2/reconstruction.glb","vggt/outputs/custom_office_scen_2/reconstruction.glb")</f>
        <v>vggt/outputs/custom_office_scen_2/reconstruction.glb</v>
      </c>
      <c r="I246" s="6" t="s">
        <v>322</v>
      </c>
      <c r="J246" s="3" t="s">
        <v>25</v>
      </c>
      <c r="K246" s="3">
        <v>1</v>
      </c>
      <c r="L246" s="3">
        <v>2</v>
      </c>
      <c r="M246" s="3">
        <v>1</v>
      </c>
      <c r="N246" s="3">
        <v>2</v>
      </c>
      <c r="O246" s="4">
        <f t="shared" si="6"/>
        <v>6</v>
      </c>
      <c r="P246" s="3"/>
      <c r="Q246" s="6" t="str">
        <f t="shared" si="7"/>
        <v>OK</v>
      </c>
      <c r="R246" s="6" t="s">
        <v>323</v>
      </c>
    </row>
    <row r="247" spans="1:18" ht="33.950000000000003" customHeight="1" x14ac:dyDescent="0.25">
      <c r="A247" s="10">
        <v>246</v>
      </c>
      <c r="B247" s="2" t="s">
        <v>321</v>
      </c>
      <c r="C247" s="2" t="s">
        <v>67</v>
      </c>
      <c r="D247" s="2" t="s">
        <v>318</v>
      </c>
      <c r="E247" s="2" t="s">
        <v>54</v>
      </c>
      <c r="F247" s="10">
        <v>2</v>
      </c>
      <c r="G247" s="2" t="s">
        <v>31</v>
      </c>
      <c r="H247" s="7" t="str">
        <f>HYPERLINK("mast3r/outputs/custom_office_scen_2/reconstruction.glb","mast3r/outputs/custom_office_scen_2/reconstruction.glb")</f>
        <v>mast3r/outputs/custom_office_scen_2/reconstruction.glb</v>
      </c>
      <c r="I247" s="6" t="s">
        <v>322</v>
      </c>
      <c r="J247" s="3" t="s">
        <v>25</v>
      </c>
      <c r="K247" s="3">
        <v>2</v>
      </c>
      <c r="L247" s="3">
        <v>2</v>
      </c>
      <c r="M247" s="3">
        <v>1</v>
      </c>
      <c r="N247" s="3">
        <v>2</v>
      </c>
      <c r="O247" s="4">
        <f t="shared" si="6"/>
        <v>7</v>
      </c>
      <c r="P247" s="3"/>
      <c r="Q247" s="6" t="str">
        <f t="shared" si="7"/>
        <v>OK</v>
      </c>
      <c r="R247" s="6" t="s">
        <v>323</v>
      </c>
    </row>
    <row r="248" spans="1:18" ht="33.950000000000003" customHeight="1" x14ac:dyDescent="0.25">
      <c r="A248" s="10">
        <v>247</v>
      </c>
      <c r="B248" s="2" t="s">
        <v>321</v>
      </c>
      <c r="C248" s="2" t="s">
        <v>67</v>
      </c>
      <c r="D248" s="2" t="s">
        <v>318</v>
      </c>
      <c r="E248" s="2" t="s">
        <v>54</v>
      </c>
      <c r="F248" s="10">
        <v>2</v>
      </c>
      <c r="G248" s="2" t="s">
        <v>27</v>
      </c>
      <c r="H248" s="7" t="str">
        <f>HYPERLINK("mapany/outputs/custom_office_scen_2/reconstruction.glb","mapany/outputs/custom_office_scen_2/reconstruction.glb")</f>
        <v>mapany/outputs/custom_office_scen_2/reconstruction.glb</v>
      </c>
      <c r="I248" s="6" t="s">
        <v>322</v>
      </c>
      <c r="J248" s="3" t="s">
        <v>25</v>
      </c>
      <c r="K248" s="3">
        <v>3</v>
      </c>
      <c r="L248" s="3">
        <v>2</v>
      </c>
      <c r="M248" s="3">
        <v>1</v>
      </c>
      <c r="N248" s="3">
        <v>2</v>
      </c>
      <c r="O248" s="4">
        <f t="shared" si="6"/>
        <v>8</v>
      </c>
      <c r="P248" s="3"/>
      <c r="Q248" s="6" t="str">
        <f t="shared" si="7"/>
        <v>OK</v>
      </c>
      <c r="R248" s="6" t="s">
        <v>323</v>
      </c>
    </row>
    <row r="249" spans="1:18" ht="33.950000000000003" customHeight="1" x14ac:dyDescent="0.25">
      <c r="A249" s="10">
        <v>248</v>
      </c>
      <c r="B249" s="2" t="s">
        <v>324</v>
      </c>
      <c r="C249" s="2" t="s">
        <v>67</v>
      </c>
      <c r="D249" s="2" t="s">
        <v>318</v>
      </c>
      <c r="E249" s="2" t="s">
        <v>54</v>
      </c>
      <c r="F249" s="10">
        <v>4</v>
      </c>
      <c r="G249" s="2" t="s">
        <v>23</v>
      </c>
      <c r="H249" s="7" t="str">
        <f>HYPERLINK("vggt/outputs/custom_office_scen_3/reconstruction.glb","vggt/outputs/custom_office_scen_3/reconstruction.glb")</f>
        <v>vggt/outputs/custom_office_scen_3/reconstruction.glb</v>
      </c>
      <c r="I249" s="6" t="s">
        <v>325</v>
      </c>
      <c r="J249" s="3" t="s">
        <v>25</v>
      </c>
      <c r="K249" s="3">
        <v>1</v>
      </c>
      <c r="L249" s="3">
        <v>2</v>
      </c>
      <c r="M249" s="3">
        <v>2</v>
      </c>
      <c r="N249" s="3">
        <v>1</v>
      </c>
      <c r="O249" s="4">
        <f t="shared" si="6"/>
        <v>6</v>
      </c>
      <c r="P249" s="3"/>
      <c r="Q249" s="6" t="str">
        <f t="shared" si="7"/>
        <v>OK</v>
      </c>
      <c r="R249" s="6" t="s">
        <v>326</v>
      </c>
    </row>
    <row r="250" spans="1:18" ht="33.950000000000003" customHeight="1" x14ac:dyDescent="0.25">
      <c r="A250" s="10">
        <v>249</v>
      </c>
      <c r="B250" s="2" t="s">
        <v>324</v>
      </c>
      <c r="C250" s="2" t="s">
        <v>67</v>
      </c>
      <c r="D250" s="2" t="s">
        <v>318</v>
      </c>
      <c r="E250" s="2" t="s">
        <v>54</v>
      </c>
      <c r="F250" s="10">
        <v>4</v>
      </c>
      <c r="G250" s="2" t="s">
        <v>31</v>
      </c>
      <c r="H250" s="7" t="str">
        <f>HYPERLINK("mast3r/outputs/custom_office_scen_3/reconstruction.glb","mast3r/outputs/custom_office_scen_3/reconstruction.glb")</f>
        <v>mast3r/outputs/custom_office_scen_3/reconstruction.glb</v>
      </c>
      <c r="I250" s="6" t="s">
        <v>325</v>
      </c>
      <c r="J250" s="3" t="s">
        <v>25</v>
      </c>
      <c r="K250" s="3">
        <v>2</v>
      </c>
      <c r="L250" s="3">
        <v>1</v>
      </c>
      <c r="M250" s="3">
        <v>0</v>
      </c>
      <c r="N250" s="3">
        <v>1</v>
      </c>
      <c r="O250" s="4">
        <f t="shared" si="6"/>
        <v>4</v>
      </c>
      <c r="P250" s="3"/>
      <c r="Q250" s="6" t="str">
        <f t="shared" si="7"/>
        <v>OK</v>
      </c>
      <c r="R250" s="6" t="s">
        <v>326</v>
      </c>
    </row>
    <row r="251" spans="1:18" ht="33.950000000000003" customHeight="1" x14ac:dyDescent="0.25">
      <c r="A251" s="10">
        <v>250</v>
      </c>
      <c r="B251" s="2" t="s">
        <v>324</v>
      </c>
      <c r="C251" s="2" t="s">
        <v>67</v>
      </c>
      <c r="D251" s="2" t="s">
        <v>318</v>
      </c>
      <c r="E251" s="2" t="s">
        <v>54</v>
      </c>
      <c r="F251" s="10">
        <v>4</v>
      </c>
      <c r="G251" s="2" t="s">
        <v>27</v>
      </c>
      <c r="H251" s="7" t="str">
        <f>HYPERLINK("mapany/outputs/custom_office_scen_3/reconstruction.glb","mapany/outputs/custom_office_scen_3/reconstruction.glb")</f>
        <v>mapany/outputs/custom_office_scen_3/reconstruction.glb</v>
      </c>
      <c r="I251" s="6" t="s">
        <v>325</v>
      </c>
      <c r="J251" s="3" t="s">
        <v>25</v>
      </c>
      <c r="K251" s="3">
        <v>3</v>
      </c>
      <c r="L251" s="3">
        <v>2</v>
      </c>
      <c r="M251" s="3">
        <v>1</v>
      </c>
      <c r="N251" s="3">
        <v>2</v>
      </c>
      <c r="O251" s="4">
        <f t="shared" si="6"/>
        <v>8</v>
      </c>
      <c r="P251" s="3"/>
      <c r="Q251" s="6" t="str">
        <f t="shared" si="7"/>
        <v>OK</v>
      </c>
      <c r="R251" s="6" t="s">
        <v>326</v>
      </c>
    </row>
    <row r="252" spans="1:18" ht="33.950000000000003" customHeight="1" x14ac:dyDescent="0.25">
      <c r="A252" s="10">
        <v>251</v>
      </c>
      <c r="B252" s="2" t="s">
        <v>327</v>
      </c>
      <c r="C252" s="2" t="s">
        <v>67</v>
      </c>
      <c r="D252" s="2" t="s">
        <v>318</v>
      </c>
      <c r="E252" s="2" t="s">
        <v>54</v>
      </c>
      <c r="F252" s="10">
        <v>8</v>
      </c>
      <c r="G252" s="2" t="s">
        <v>23</v>
      </c>
      <c r="H252" s="7" t="str">
        <f>HYPERLINK("vggt/outputs/custom_office_scen_4/reconstruction.glb","vggt/outputs/custom_office_scen_4/reconstruction.glb")</f>
        <v>vggt/outputs/custom_office_scen_4/reconstruction.glb</v>
      </c>
      <c r="I252" s="6" t="s">
        <v>328</v>
      </c>
      <c r="J252" s="3" t="s">
        <v>25</v>
      </c>
      <c r="K252" s="3">
        <v>1</v>
      </c>
      <c r="L252" s="3">
        <v>2</v>
      </c>
      <c r="M252" s="3">
        <v>2</v>
      </c>
      <c r="N252" s="3">
        <v>1</v>
      </c>
      <c r="O252" s="4">
        <f t="shared" si="6"/>
        <v>6</v>
      </c>
      <c r="P252" s="3"/>
      <c r="Q252" s="6" t="str">
        <f t="shared" si="7"/>
        <v>OK</v>
      </c>
      <c r="R252" s="6" t="s">
        <v>329</v>
      </c>
    </row>
    <row r="253" spans="1:18" ht="33.950000000000003" customHeight="1" x14ac:dyDescent="0.25">
      <c r="A253" s="10">
        <v>252</v>
      </c>
      <c r="B253" s="2" t="s">
        <v>327</v>
      </c>
      <c r="C253" s="2" t="s">
        <v>67</v>
      </c>
      <c r="D253" s="2" t="s">
        <v>318</v>
      </c>
      <c r="E253" s="2" t="s">
        <v>54</v>
      </c>
      <c r="F253" s="10">
        <v>8</v>
      </c>
      <c r="G253" s="2" t="s">
        <v>31</v>
      </c>
      <c r="H253" s="7" t="str">
        <f>HYPERLINK("mast3r/outputs/custom_office_scen_4/reconstruction.glb","mast3r/outputs/custom_office_scen_4/reconstruction.glb")</f>
        <v>mast3r/outputs/custom_office_scen_4/reconstruction.glb</v>
      </c>
      <c r="I253" s="6" t="s">
        <v>328</v>
      </c>
      <c r="J253" s="3" t="s">
        <v>25</v>
      </c>
      <c r="K253" s="3">
        <v>2</v>
      </c>
      <c r="L253" s="3">
        <v>1</v>
      </c>
      <c r="M253" s="3">
        <v>1</v>
      </c>
      <c r="N253" s="3">
        <v>1</v>
      </c>
      <c r="O253" s="4">
        <f t="shared" si="6"/>
        <v>5</v>
      </c>
      <c r="P253" s="3"/>
      <c r="Q253" s="6" t="str">
        <f t="shared" si="7"/>
        <v>OK</v>
      </c>
      <c r="R253" s="6" t="s">
        <v>329</v>
      </c>
    </row>
    <row r="254" spans="1:18" ht="33.950000000000003" customHeight="1" x14ac:dyDescent="0.25">
      <c r="A254" s="10">
        <v>253</v>
      </c>
      <c r="B254" s="2" t="s">
        <v>327</v>
      </c>
      <c r="C254" s="2" t="s">
        <v>67</v>
      </c>
      <c r="D254" s="2" t="s">
        <v>318</v>
      </c>
      <c r="E254" s="2" t="s">
        <v>54</v>
      </c>
      <c r="F254" s="10">
        <v>8</v>
      </c>
      <c r="G254" s="2" t="s">
        <v>27</v>
      </c>
      <c r="H254" s="7" t="str">
        <f>HYPERLINK("mapany/outputs/custom_office_scen_4/reconstruction.glb","mapany/outputs/custom_office_scen_4/reconstruction.glb")</f>
        <v>mapany/outputs/custom_office_scen_4/reconstruction.glb</v>
      </c>
      <c r="I254" s="6" t="s">
        <v>328</v>
      </c>
      <c r="J254" s="3" t="s">
        <v>25</v>
      </c>
      <c r="K254" s="3">
        <v>3</v>
      </c>
      <c r="L254" s="3">
        <v>2</v>
      </c>
      <c r="M254" s="3">
        <v>1</v>
      </c>
      <c r="N254" s="3">
        <v>2</v>
      </c>
      <c r="O254" s="4">
        <f t="shared" si="6"/>
        <v>8</v>
      </c>
      <c r="P254" s="3"/>
      <c r="Q254" s="6" t="str">
        <f t="shared" si="7"/>
        <v>OK</v>
      </c>
      <c r="R254" s="6" t="s">
        <v>329</v>
      </c>
    </row>
    <row r="255" spans="1:18" ht="33.950000000000003" customHeight="1" x14ac:dyDescent="0.25">
      <c r="A255" s="10">
        <v>254</v>
      </c>
      <c r="B255" s="2" t="s">
        <v>330</v>
      </c>
      <c r="C255" s="2" t="s">
        <v>20</v>
      </c>
      <c r="D255" s="2" t="s">
        <v>331</v>
      </c>
      <c r="E255" s="2" t="s">
        <v>54</v>
      </c>
      <c r="F255" s="10">
        <v>1</v>
      </c>
      <c r="G255" s="2" t="s">
        <v>23</v>
      </c>
      <c r="H255" s="7" t="str">
        <f>HYPERLINK("vggt/outputs/eth3d_old_computer_scen_1/reconstruction.glb","vggt/outputs/eth3d_old_computer_scen_1/reconstruction.glb")</f>
        <v>vggt/outputs/eth3d_old_computer_scen_1/reconstruction.glb</v>
      </c>
      <c r="I255" s="6" t="s">
        <v>332</v>
      </c>
      <c r="J255" s="3" t="s">
        <v>25</v>
      </c>
      <c r="K255" s="3">
        <v>1</v>
      </c>
      <c r="L255" s="3">
        <v>2</v>
      </c>
      <c r="M255" s="3">
        <v>3</v>
      </c>
      <c r="N255" s="3">
        <v>2</v>
      </c>
      <c r="O255" s="4">
        <f t="shared" si="6"/>
        <v>8</v>
      </c>
      <c r="P255" s="3"/>
      <c r="Q255" s="6" t="str">
        <f t="shared" si="7"/>
        <v>OK</v>
      </c>
      <c r="R255" s="6" t="s">
        <v>333</v>
      </c>
    </row>
    <row r="256" spans="1:18" ht="33.950000000000003" customHeight="1" x14ac:dyDescent="0.25">
      <c r="A256" s="10">
        <v>255</v>
      </c>
      <c r="B256" s="2" t="s">
        <v>330</v>
      </c>
      <c r="C256" s="2" t="s">
        <v>20</v>
      </c>
      <c r="D256" s="2" t="s">
        <v>331</v>
      </c>
      <c r="E256" s="2" t="s">
        <v>54</v>
      </c>
      <c r="F256" s="10">
        <v>1</v>
      </c>
      <c r="G256" s="2" t="s">
        <v>27</v>
      </c>
      <c r="H256" s="7" t="str">
        <f>HYPERLINK("mapany/outputs/eth3d_old_computer_scen_1/reconstruction.glb","mapany/outputs/eth3d_old_computer_scen_1/reconstruction.glb")</f>
        <v>mapany/outputs/eth3d_old_computer_scen_1/reconstruction.glb</v>
      </c>
      <c r="I256" s="6" t="s">
        <v>332</v>
      </c>
      <c r="J256" s="3" t="s">
        <v>25</v>
      </c>
      <c r="K256" s="3">
        <v>3</v>
      </c>
      <c r="L256" s="3">
        <v>2</v>
      </c>
      <c r="M256" s="3">
        <v>3</v>
      </c>
      <c r="N256" s="3">
        <v>2</v>
      </c>
      <c r="O256" s="4">
        <f t="shared" si="6"/>
        <v>10</v>
      </c>
      <c r="P256" s="3"/>
      <c r="Q256" s="6" t="str">
        <f t="shared" si="7"/>
        <v>OK</v>
      </c>
      <c r="R256" s="6" t="s">
        <v>333</v>
      </c>
    </row>
    <row r="257" spans="1:18" ht="33.950000000000003" customHeight="1" x14ac:dyDescent="0.25">
      <c r="A257" s="10">
        <v>256</v>
      </c>
      <c r="B257" s="2" t="s">
        <v>334</v>
      </c>
      <c r="C257" s="2" t="s">
        <v>20</v>
      </c>
      <c r="D257" s="2" t="s">
        <v>331</v>
      </c>
      <c r="E257" s="2" t="s">
        <v>54</v>
      </c>
      <c r="F257" s="10">
        <v>2</v>
      </c>
      <c r="G257" s="2" t="s">
        <v>23</v>
      </c>
      <c r="H257" s="7" t="str">
        <f>HYPERLINK("vggt/outputs/eth3d_old_computer_scen_2/reconstruction.glb","vggt/outputs/eth3d_old_computer_scen_2/reconstruction.glb")</f>
        <v>vggt/outputs/eth3d_old_computer_scen_2/reconstruction.glb</v>
      </c>
      <c r="I257" s="6" t="s">
        <v>335</v>
      </c>
      <c r="J257" s="3" t="s">
        <v>25</v>
      </c>
      <c r="K257" s="3">
        <v>2</v>
      </c>
      <c r="L257" s="3">
        <v>2</v>
      </c>
      <c r="M257" s="3">
        <v>1</v>
      </c>
      <c r="N257" s="3">
        <v>2</v>
      </c>
      <c r="O257" s="4">
        <f t="shared" si="6"/>
        <v>7</v>
      </c>
      <c r="P257" s="3"/>
      <c r="Q257" s="6" t="str">
        <f t="shared" si="7"/>
        <v>OK</v>
      </c>
      <c r="R257" s="6" t="s">
        <v>336</v>
      </c>
    </row>
    <row r="258" spans="1:18" ht="33.950000000000003" customHeight="1" x14ac:dyDescent="0.25">
      <c r="A258" s="10">
        <v>257</v>
      </c>
      <c r="B258" s="2" t="s">
        <v>334</v>
      </c>
      <c r="C258" s="2" t="s">
        <v>20</v>
      </c>
      <c r="D258" s="2" t="s">
        <v>331</v>
      </c>
      <c r="E258" s="2" t="s">
        <v>54</v>
      </c>
      <c r="F258" s="10">
        <v>2</v>
      </c>
      <c r="G258" s="2" t="s">
        <v>31</v>
      </c>
      <c r="H258" s="7" t="str">
        <f>HYPERLINK("mast3r/outputs/eth3d_old_computer_scen_2/reconstruction.glb","mast3r/outputs/eth3d_old_computer_scen_2/reconstruction.glb")</f>
        <v>mast3r/outputs/eth3d_old_computer_scen_2/reconstruction.glb</v>
      </c>
      <c r="I258" s="6" t="s">
        <v>335</v>
      </c>
      <c r="J258" s="3" t="s">
        <v>25</v>
      </c>
      <c r="K258" s="3">
        <v>2</v>
      </c>
      <c r="L258" s="3">
        <v>1</v>
      </c>
      <c r="M258" s="3">
        <v>1</v>
      </c>
      <c r="N258" s="3">
        <v>2</v>
      </c>
      <c r="O258" s="4">
        <f t="shared" ref="O258:O321" si="8">IF($J258="Niepowodzenie rekonstrukcji",0,IF(COUNT($K258:$N258)=4,SUM($K258:$N258),""))</f>
        <v>6</v>
      </c>
      <c r="P258" s="3"/>
      <c r="Q258" s="6" t="str">
        <f t="shared" ref="Q258:Q321" si="9">IF($J258="Niepowodzenie rekonstrukcji",IF(COUNTIF($K258:$N258,0)=4,"OK","Ustaw C, G, A, D = 0"),IF(COUNT($K258:$N258)=0,"Nieoceniony",IF(COUNT($K258:$N258)=4,"OK","Uzupełnij oceny")))</f>
        <v>OK</v>
      </c>
      <c r="R258" s="6" t="s">
        <v>336</v>
      </c>
    </row>
    <row r="259" spans="1:18" ht="33.950000000000003" customHeight="1" x14ac:dyDescent="0.25">
      <c r="A259" s="10">
        <v>258</v>
      </c>
      <c r="B259" s="2" t="s">
        <v>334</v>
      </c>
      <c r="C259" s="2" t="s">
        <v>20</v>
      </c>
      <c r="D259" s="2" t="s">
        <v>331</v>
      </c>
      <c r="E259" s="2" t="s">
        <v>54</v>
      </c>
      <c r="F259" s="10">
        <v>2</v>
      </c>
      <c r="G259" s="2" t="s">
        <v>27</v>
      </c>
      <c r="H259" s="7" t="str">
        <f>HYPERLINK("mapany/outputs/eth3d_old_computer_scen_2/reconstruction.glb","mapany/outputs/eth3d_old_computer_scen_2/reconstruction.glb")</f>
        <v>mapany/outputs/eth3d_old_computer_scen_2/reconstruction.glb</v>
      </c>
      <c r="I259" s="6" t="s">
        <v>335</v>
      </c>
      <c r="J259" s="3" t="s">
        <v>25</v>
      </c>
      <c r="K259" s="3">
        <v>3</v>
      </c>
      <c r="L259" s="3">
        <v>2</v>
      </c>
      <c r="M259" s="3">
        <v>3</v>
      </c>
      <c r="N259" s="3">
        <v>2</v>
      </c>
      <c r="O259" s="4">
        <f t="shared" si="8"/>
        <v>10</v>
      </c>
      <c r="P259" s="3"/>
      <c r="Q259" s="6" t="str">
        <f t="shared" si="9"/>
        <v>OK</v>
      </c>
      <c r="R259" s="6" t="s">
        <v>336</v>
      </c>
    </row>
    <row r="260" spans="1:18" ht="33.950000000000003" customHeight="1" x14ac:dyDescent="0.25">
      <c r="A260" s="10">
        <v>259</v>
      </c>
      <c r="B260" s="2" t="s">
        <v>337</v>
      </c>
      <c r="C260" s="2" t="s">
        <v>20</v>
      </c>
      <c r="D260" s="2" t="s">
        <v>331</v>
      </c>
      <c r="E260" s="2" t="s">
        <v>54</v>
      </c>
      <c r="F260" s="10">
        <v>4</v>
      </c>
      <c r="G260" s="2" t="s">
        <v>23</v>
      </c>
      <c r="H260" s="7" t="str">
        <f>HYPERLINK("vggt/outputs/eth3d_old_computer_scen_3/reconstruction.glb","vggt/outputs/eth3d_old_computer_scen_3/reconstruction.glb")</f>
        <v>vggt/outputs/eth3d_old_computer_scen_3/reconstruction.glb</v>
      </c>
      <c r="I260" s="6" t="s">
        <v>338</v>
      </c>
      <c r="J260" s="3" t="s">
        <v>25</v>
      </c>
      <c r="K260" s="3">
        <v>1</v>
      </c>
      <c r="L260" s="3">
        <v>2</v>
      </c>
      <c r="M260" s="3">
        <v>1</v>
      </c>
      <c r="N260" s="3">
        <v>2</v>
      </c>
      <c r="O260" s="4">
        <f t="shared" si="8"/>
        <v>6</v>
      </c>
      <c r="P260" s="3"/>
      <c r="Q260" s="6" t="str">
        <f t="shared" si="9"/>
        <v>OK</v>
      </c>
      <c r="R260" s="6" t="s">
        <v>339</v>
      </c>
    </row>
    <row r="261" spans="1:18" ht="33.950000000000003" customHeight="1" x14ac:dyDescent="0.25">
      <c r="A261" s="10">
        <v>260</v>
      </c>
      <c r="B261" s="2" t="s">
        <v>337</v>
      </c>
      <c r="C261" s="2" t="s">
        <v>20</v>
      </c>
      <c r="D261" s="2" t="s">
        <v>331</v>
      </c>
      <c r="E261" s="2" t="s">
        <v>54</v>
      </c>
      <c r="F261" s="10">
        <v>4</v>
      </c>
      <c r="G261" s="2" t="s">
        <v>31</v>
      </c>
      <c r="H261" s="7" t="str">
        <f>HYPERLINK("mast3r/outputs/eth3d_old_computer_scen_3/reconstruction.glb","mast3r/outputs/eth3d_old_computer_scen_3/reconstruction.glb")</f>
        <v>mast3r/outputs/eth3d_old_computer_scen_3/reconstruction.glb</v>
      </c>
      <c r="I261" s="6" t="s">
        <v>338</v>
      </c>
      <c r="J261" s="3" t="s">
        <v>25</v>
      </c>
      <c r="K261" s="3">
        <v>1</v>
      </c>
      <c r="L261" s="3">
        <v>1</v>
      </c>
      <c r="M261" s="3">
        <v>1</v>
      </c>
      <c r="N261" s="3">
        <v>2</v>
      </c>
      <c r="O261" s="4">
        <f t="shared" si="8"/>
        <v>5</v>
      </c>
      <c r="P261" s="3"/>
      <c r="Q261" s="6" t="str">
        <f t="shared" si="9"/>
        <v>OK</v>
      </c>
      <c r="R261" s="6" t="s">
        <v>339</v>
      </c>
    </row>
    <row r="262" spans="1:18" ht="33.950000000000003" customHeight="1" x14ac:dyDescent="0.25">
      <c r="A262" s="10">
        <v>261</v>
      </c>
      <c r="B262" s="2" t="s">
        <v>337</v>
      </c>
      <c r="C262" s="2" t="s">
        <v>20</v>
      </c>
      <c r="D262" s="2" t="s">
        <v>331</v>
      </c>
      <c r="E262" s="2" t="s">
        <v>54</v>
      </c>
      <c r="F262" s="10">
        <v>4</v>
      </c>
      <c r="G262" s="2" t="s">
        <v>27</v>
      </c>
      <c r="H262" s="7" t="str">
        <f>HYPERLINK("mapany/outputs/eth3d_old_computer_scen_3/reconstruction.glb","mapany/outputs/eth3d_old_computer_scen_3/reconstruction.glb")</f>
        <v>mapany/outputs/eth3d_old_computer_scen_3/reconstruction.glb</v>
      </c>
      <c r="I262" s="6" t="s">
        <v>338</v>
      </c>
      <c r="J262" s="3" t="s">
        <v>25</v>
      </c>
      <c r="K262" s="3">
        <v>3</v>
      </c>
      <c r="L262" s="3">
        <v>2</v>
      </c>
      <c r="M262" s="3">
        <v>3</v>
      </c>
      <c r="N262" s="3">
        <v>2</v>
      </c>
      <c r="O262" s="4">
        <f t="shared" si="8"/>
        <v>10</v>
      </c>
      <c r="P262" s="3"/>
      <c r="Q262" s="6" t="str">
        <f t="shared" si="9"/>
        <v>OK</v>
      </c>
      <c r="R262" s="6" t="s">
        <v>339</v>
      </c>
    </row>
    <row r="263" spans="1:18" ht="33.950000000000003" customHeight="1" x14ac:dyDescent="0.25">
      <c r="A263" s="10">
        <v>262</v>
      </c>
      <c r="B263" s="2" t="s">
        <v>340</v>
      </c>
      <c r="C263" s="2" t="s">
        <v>20</v>
      </c>
      <c r="D263" s="2" t="s">
        <v>331</v>
      </c>
      <c r="E263" s="2" t="s">
        <v>54</v>
      </c>
      <c r="F263" s="10">
        <v>8</v>
      </c>
      <c r="G263" s="2" t="s">
        <v>23</v>
      </c>
      <c r="H263" s="7" t="str">
        <f>HYPERLINK("vggt/outputs/eth3d_old_computer_scen_4/reconstruction.glb","vggt/outputs/eth3d_old_computer_scen_4/reconstruction.glb")</f>
        <v>vggt/outputs/eth3d_old_computer_scen_4/reconstruction.glb</v>
      </c>
      <c r="I263" s="6" t="s">
        <v>341</v>
      </c>
      <c r="J263" s="3" t="s">
        <v>25</v>
      </c>
      <c r="K263" s="3">
        <v>1</v>
      </c>
      <c r="L263" s="3">
        <v>2</v>
      </c>
      <c r="M263" s="3">
        <v>2</v>
      </c>
      <c r="N263" s="3">
        <v>2</v>
      </c>
      <c r="O263" s="4">
        <f t="shared" si="8"/>
        <v>7</v>
      </c>
      <c r="P263" s="3"/>
      <c r="Q263" s="6" t="str">
        <f t="shared" si="9"/>
        <v>OK</v>
      </c>
      <c r="R263" s="6" t="s">
        <v>342</v>
      </c>
    </row>
    <row r="264" spans="1:18" ht="33.950000000000003" customHeight="1" x14ac:dyDescent="0.25">
      <c r="A264" s="10">
        <v>263</v>
      </c>
      <c r="B264" s="2" t="s">
        <v>340</v>
      </c>
      <c r="C264" s="2" t="s">
        <v>20</v>
      </c>
      <c r="D264" s="2" t="s">
        <v>331</v>
      </c>
      <c r="E264" s="2" t="s">
        <v>54</v>
      </c>
      <c r="F264" s="10">
        <v>8</v>
      </c>
      <c r="G264" s="2" t="s">
        <v>31</v>
      </c>
      <c r="H264" s="7" t="str">
        <f>HYPERLINK("mast3r/outputs/eth3d_old_computer_scen_4/reconstruction.glb","mast3r/outputs/eth3d_old_computer_scen_4/reconstruction.glb")</f>
        <v>mast3r/outputs/eth3d_old_computer_scen_4/reconstruction.glb</v>
      </c>
      <c r="I264" s="6" t="s">
        <v>341</v>
      </c>
      <c r="J264" s="3" t="s">
        <v>25</v>
      </c>
      <c r="K264" s="3">
        <v>2</v>
      </c>
      <c r="L264" s="3">
        <v>1</v>
      </c>
      <c r="M264" s="3">
        <v>1</v>
      </c>
      <c r="N264" s="3">
        <v>2</v>
      </c>
      <c r="O264" s="4">
        <f t="shared" si="8"/>
        <v>6</v>
      </c>
      <c r="P264" s="3"/>
      <c r="Q264" s="6" t="str">
        <f t="shared" si="9"/>
        <v>OK</v>
      </c>
      <c r="R264" s="6" t="s">
        <v>342</v>
      </c>
    </row>
    <row r="265" spans="1:18" ht="33.950000000000003" customHeight="1" x14ac:dyDescent="0.25">
      <c r="A265" s="10">
        <v>264</v>
      </c>
      <c r="B265" s="2" t="s">
        <v>340</v>
      </c>
      <c r="C265" s="2" t="s">
        <v>20</v>
      </c>
      <c r="D265" s="2" t="s">
        <v>331</v>
      </c>
      <c r="E265" s="2" t="s">
        <v>54</v>
      </c>
      <c r="F265" s="10">
        <v>8</v>
      </c>
      <c r="G265" s="2" t="s">
        <v>27</v>
      </c>
      <c r="H265" s="7" t="str">
        <f>HYPERLINK("mapany/outputs/eth3d_old_computer_scen_4/reconstruction.glb","mapany/outputs/eth3d_old_computer_scen_4/reconstruction.glb")</f>
        <v>mapany/outputs/eth3d_old_computer_scen_4/reconstruction.glb</v>
      </c>
      <c r="I265" s="6" t="s">
        <v>341</v>
      </c>
      <c r="J265" s="3" t="s">
        <v>25</v>
      </c>
      <c r="K265" s="3">
        <v>3</v>
      </c>
      <c r="L265" s="3">
        <v>2</v>
      </c>
      <c r="M265" s="3">
        <v>2</v>
      </c>
      <c r="N265" s="3">
        <v>2</v>
      </c>
      <c r="O265" s="4">
        <f t="shared" si="8"/>
        <v>9</v>
      </c>
      <c r="P265" s="3"/>
      <c r="Q265" s="6" t="str">
        <f t="shared" si="9"/>
        <v>OK</v>
      </c>
      <c r="R265" s="6" t="s">
        <v>342</v>
      </c>
    </row>
    <row r="266" spans="1:18" ht="33.950000000000003" customHeight="1" x14ac:dyDescent="0.25">
      <c r="A266" s="10">
        <v>265</v>
      </c>
      <c r="B266" s="2" t="s">
        <v>343</v>
      </c>
      <c r="C266" s="2" t="s">
        <v>134</v>
      </c>
      <c r="D266" s="2" t="s">
        <v>344</v>
      </c>
      <c r="E266" s="2" t="s">
        <v>22</v>
      </c>
      <c r="F266" s="10">
        <v>1</v>
      </c>
      <c r="G266" s="2" t="s">
        <v>23</v>
      </c>
      <c r="H266" s="7" t="str">
        <f>HYPERLINK("vggt/outputs/llff_orchids_scen_1/reconstruction.glb","vggt/outputs/llff_orchids_scen_1/reconstruction.glb")</f>
        <v>vggt/outputs/llff_orchids_scen_1/reconstruction.glb</v>
      </c>
      <c r="I266" s="6" t="s">
        <v>345</v>
      </c>
      <c r="J266" s="3" t="s">
        <v>25</v>
      </c>
      <c r="K266" s="3">
        <v>2</v>
      </c>
      <c r="L266" s="3">
        <v>2</v>
      </c>
      <c r="M266" s="3">
        <v>3</v>
      </c>
      <c r="N266" s="3">
        <v>2</v>
      </c>
      <c r="O266" s="4">
        <f t="shared" si="8"/>
        <v>9</v>
      </c>
      <c r="P266" s="3"/>
      <c r="Q266" s="6" t="str">
        <f t="shared" si="9"/>
        <v>OK</v>
      </c>
      <c r="R266" s="6" t="s">
        <v>346</v>
      </c>
    </row>
    <row r="267" spans="1:18" ht="33.950000000000003" customHeight="1" x14ac:dyDescent="0.25">
      <c r="A267" s="10">
        <v>266</v>
      </c>
      <c r="B267" s="2" t="s">
        <v>343</v>
      </c>
      <c r="C267" s="2" t="s">
        <v>134</v>
      </c>
      <c r="D267" s="2" t="s">
        <v>344</v>
      </c>
      <c r="E267" s="2" t="s">
        <v>22</v>
      </c>
      <c r="F267" s="10">
        <v>1</v>
      </c>
      <c r="G267" s="2" t="s">
        <v>27</v>
      </c>
      <c r="H267" s="7" t="str">
        <f>HYPERLINK("mapany/outputs/llff_orchids_scen_1/reconstruction.glb","mapany/outputs/llff_orchids_scen_1/reconstruction.glb")</f>
        <v>mapany/outputs/llff_orchids_scen_1/reconstruction.glb</v>
      </c>
      <c r="I267" s="6" t="s">
        <v>345</v>
      </c>
      <c r="J267" s="3" t="s">
        <v>25</v>
      </c>
      <c r="K267" s="3">
        <v>2</v>
      </c>
      <c r="L267" s="3">
        <v>1</v>
      </c>
      <c r="M267" s="3">
        <v>2</v>
      </c>
      <c r="N267" s="3">
        <v>2</v>
      </c>
      <c r="O267" s="4">
        <f t="shared" si="8"/>
        <v>7</v>
      </c>
      <c r="P267" s="3"/>
      <c r="Q267" s="6" t="str">
        <f t="shared" si="9"/>
        <v>OK</v>
      </c>
      <c r="R267" s="6" t="s">
        <v>346</v>
      </c>
    </row>
    <row r="268" spans="1:18" ht="33.950000000000003" customHeight="1" x14ac:dyDescent="0.25">
      <c r="A268" s="10">
        <v>267</v>
      </c>
      <c r="B268" s="2" t="s">
        <v>347</v>
      </c>
      <c r="C268" s="2" t="s">
        <v>134</v>
      </c>
      <c r="D268" s="2" t="s">
        <v>344</v>
      </c>
      <c r="E268" s="2" t="s">
        <v>22</v>
      </c>
      <c r="F268" s="10">
        <v>2</v>
      </c>
      <c r="G268" s="2" t="s">
        <v>23</v>
      </c>
      <c r="H268" s="7" t="str">
        <f>HYPERLINK("vggt/outputs/llff_orchids_scen_2/reconstruction.glb","vggt/outputs/llff_orchids_scen_2/reconstruction.glb")</f>
        <v>vggt/outputs/llff_orchids_scen_2/reconstruction.glb</v>
      </c>
      <c r="I268" s="6" t="s">
        <v>348</v>
      </c>
      <c r="J268" s="3" t="s">
        <v>25</v>
      </c>
      <c r="K268" s="3">
        <v>2</v>
      </c>
      <c r="L268" s="3">
        <v>2</v>
      </c>
      <c r="M268" s="3">
        <v>3</v>
      </c>
      <c r="N268" s="3">
        <v>2</v>
      </c>
      <c r="O268" s="4">
        <f t="shared" si="8"/>
        <v>9</v>
      </c>
      <c r="P268" s="3"/>
      <c r="Q268" s="6" t="str">
        <f t="shared" si="9"/>
        <v>OK</v>
      </c>
      <c r="R268" s="6" t="s">
        <v>349</v>
      </c>
    </row>
    <row r="269" spans="1:18" ht="33.950000000000003" customHeight="1" x14ac:dyDescent="0.25">
      <c r="A269" s="10">
        <v>268</v>
      </c>
      <c r="B269" s="2" t="s">
        <v>347</v>
      </c>
      <c r="C269" s="2" t="s">
        <v>134</v>
      </c>
      <c r="D269" s="2" t="s">
        <v>344</v>
      </c>
      <c r="E269" s="2" t="s">
        <v>22</v>
      </c>
      <c r="F269" s="10">
        <v>2</v>
      </c>
      <c r="G269" s="2" t="s">
        <v>31</v>
      </c>
      <c r="H269" s="7" t="str">
        <f>HYPERLINK("mast3r/outputs/llff_orchids_scen_2/reconstruction.glb","mast3r/outputs/llff_orchids_scen_2/reconstruction.glb")</f>
        <v>mast3r/outputs/llff_orchids_scen_2/reconstruction.glb</v>
      </c>
      <c r="I269" s="6" t="s">
        <v>348</v>
      </c>
      <c r="J269" s="3" t="s">
        <v>25</v>
      </c>
      <c r="K269" s="3">
        <v>1</v>
      </c>
      <c r="L269" s="3">
        <v>1</v>
      </c>
      <c r="M269" s="3">
        <v>2</v>
      </c>
      <c r="N269" s="3">
        <v>1</v>
      </c>
      <c r="O269" s="4">
        <f t="shared" si="8"/>
        <v>5</v>
      </c>
      <c r="P269" s="3"/>
      <c r="Q269" s="6" t="str">
        <f t="shared" si="9"/>
        <v>OK</v>
      </c>
      <c r="R269" s="6" t="s">
        <v>349</v>
      </c>
    </row>
    <row r="270" spans="1:18" ht="33.950000000000003" customHeight="1" x14ac:dyDescent="0.25">
      <c r="A270" s="10">
        <v>269</v>
      </c>
      <c r="B270" s="2" t="s">
        <v>347</v>
      </c>
      <c r="C270" s="2" t="s">
        <v>134</v>
      </c>
      <c r="D270" s="2" t="s">
        <v>344</v>
      </c>
      <c r="E270" s="2" t="s">
        <v>22</v>
      </c>
      <c r="F270" s="10">
        <v>2</v>
      </c>
      <c r="G270" s="2" t="s">
        <v>27</v>
      </c>
      <c r="H270" s="7" t="str">
        <f>HYPERLINK("mapany/outputs/llff_orchids_scen_2/reconstruction.glb","mapany/outputs/llff_orchids_scen_2/reconstruction.glb")</f>
        <v>mapany/outputs/llff_orchids_scen_2/reconstruction.glb</v>
      </c>
      <c r="I270" s="6" t="s">
        <v>348</v>
      </c>
      <c r="J270" s="3" t="s">
        <v>25</v>
      </c>
      <c r="K270" s="3">
        <v>2</v>
      </c>
      <c r="L270" s="3">
        <v>2</v>
      </c>
      <c r="M270" s="3">
        <v>1</v>
      </c>
      <c r="N270" s="3">
        <v>2</v>
      </c>
      <c r="O270" s="4">
        <f t="shared" si="8"/>
        <v>7</v>
      </c>
      <c r="P270" s="3"/>
      <c r="Q270" s="6" t="str">
        <f t="shared" si="9"/>
        <v>OK</v>
      </c>
      <c r="R270" s="6" t="s">
        <v>349</v>
      </c>
    </row>
    <row r="271" spans="1:18" ht="33.950000000000003" customHeight="1" x14ac:dyDescent="0.25">
      <c r="A271" s="10">
        <v>270</v>
      </c>
      <c r="B271" s="2" t="s">
        <v>350</v>
      </c>
      <c r="C271" s="2" t="s">
        <v>134</v>
      </c>
      <c r="D271" s="2" t="s">
        <v>344</v>
      </c>
      <c r="E271" s="2" t="s">
        <v>22</v>
      </c>
      <c r="F271" s="10">
        <v>4</v>
      </c>
      <c r="G271" s="2" t="s">
        <v>23</v>
      </c>
      <c r="H271" s="7" t="str">
        <f>HYPERLINK("vggt/outputs/llff_orchids_scen_3/reconstruction.glb","vggt/outputs/llff_orchids_scen_3/reconstruction.glb")</f>
        <v>vggt/outputs/llff_orchids_scen_3/reconstruction.glb</v>
      </c>
      <c r="I271" s="6" t="s">
        <v>351</v>
      </c>
      <c r="J271" s="3" t="s">
        <v>25</v>
      </c>
      <c r="K271" s="3">
        <v>2</v>
      </c>
      <c r="L271" s="3">
        <v>2</v>
      </c>
      <c r="M271" s="3">
        <v>2</v>
      </c>
      <c r="N271" s="3">
        <v>2</v>
      </c>
      <c r="O271" s="4">
        <f t="shared" si="8"/>
        <v>8</v>
      </c>
      <c r="P271" s="3"/>
      <c r="Q271" s="6" t="str">
        <f t="shared" si="9"/>
        <v>OK</v>
      </c>
      <c r="R271" s="6" t="s">
        <v>352</v>
      </c>
    </row>
    <row r="272" spans="1:18" ht="33.950000000000003" customHeight="1" x14ac:dyDescent="0.25">
      <c r="A272" s="10">
        <v>271</v>
      </c>
      <c r="B272" s="2" t="s">
        <v>350</v>
      </c>
      <c r="C272" s="2" t="s">
        <v>134</v>
      </c>
      <c r="D272" s="2" t="s">
        <v>344</v>
      </c>
      <c r="E272" s="2" t="s">
        <v>22</v>
      </c>
      <c r="F272" s="10">
        <v>4</v>
      </c>
      <c r="G272" s="2" t="s">
        <v>31</v>
      </c>
      <c r="H272" s="7" t="str">
        <f>HYPERLINK("mast3r/outputs/llff_orchids_scen_3/reconstruction.glb","mast3r/outputs/llff_orchids_scen_3/reconstruction.glb")</f>
        <v>mast3r/outputs/llff_orchids_scen_3/reconstruction.glb</v>
      </c>
      <c r="I272" s="6" t="s">
        <v>351</v>
      </c>
      <c r="J272" s="3" t="s">
        <v>25</v>
      </c>
      <c r="K272" s="3">
        <v>2</v>
      </c>
      <c r="L272" s="3">
        <v>1</v>
      </c>
      <c r="M272" s="3">
        <v>2</v>
      </c>
      <c r="N272" s="3">
        <v>1</v>
      </c>
      <c r="O272" s="4">
        <f t="shared" si="8"/>
        <v>6</v>
      </c>
      <c r="P272" s="3"/>
      <c r="Q272" s="6" t="str">
        <f t="shared" si="9"/>
        <v>OK</v>
      </c>
      <c r="R272" s="6" t="s">
        <v>352</v>
      </c>
    </row>
    <row r="273" spans="1:18" ht="33.950000000000003" customHeight="1" x14ac:dyDescent="0.25">
      <c r="A273" s="10">
        <v>272</v>
      </c>
      <c r="B273" s="2" t="s">
        <v>350</v>
      </c>
      <c r="C273" s="2" t="s">
        <v>134</v>
      </c>
      <c r="D273" s="2" t="s">
        <v>344</v>
      </c>
      <c r="E273" s="2" t="s">
        <v>22</v>
      </c>
      <c r="F273" s="10">
        <v>4</v>
      </c>
      <c r="G273" s="2" t="s">
        <v>27</v>
      </c>
      <c r="H273" s="7" t="str">
        <f>HYPERLINK("mapany/outputs/llff_orchids_scen_3/reconstruction.glb","mapany/outputs/llff_orchids_scen_3/reconstruction.glb")</f>
        <v>mapany/outputs/llff_orchids_scen_3/reconstruction.glb</v>
      </c>
      <c r="I273" s="6" t="s">
        <v>351</v>
      </c>
      <c r="J273" s="3" t="s">
        <v>25</v>
      </c>
      <c r="K273" s="3">
        <v>2</v>
      </c>
      <c r="L273" s="3">
        <v>2</v>
      </c>
      <c r="M273" s="3">
        <v>1</v>
      </c>
      <c r="N273" s="3">
        <v>2</v>
      </c>
      <c r="O273" s="4">
        <f t="shared" si="8"/>
        <v>7</v>
      </c>
      <c r="P273" s="3"/>
      <c r="Q273" s="6" t="str">
        <f t="shared" si="9"/>
        <v>OK</v>
      </c>
      <c r="R273" s="6" t="s">
        <v>352</v>
      </c>
    </row>
    <row r="274" spans="1:18" ht="33.950000000000003" customHeight="1" x14ac:dyDescent="0.25">
      <c r="A274" s="10">
        <v>273</v>
      </c>
      <c r="B274" s="2" t="s">
        <v>353</v>
      </c>
      <c r="C274" s="2" t="s">
        <v>134</v>
      </c>
      <c r="D274" s="2" t="s">
        <v>344</v>
      </c>
      <c r="E274" s="2" t="s">
        <v>22</v>
      </c>
      <c r="F274" s="10">
        <v>8</v>
      </c>
      <c r="G274" s="2" t="s">
        <v>23</v>
      </c>
      <c r="H274" s="7" t="str">
        <f>HYPERLINK("vggt/outputs/llff_orchids_scen_4/reconstruction.glb","vggt/outputs/llff_orchids_scen_4/reconstruction.glb")</f>
        <v>vggt/outputs/llff_orchids_scen_4/reconstruction.glb</v>
      </c>
      <c r="I274" s="6" t="s">
        <v>354</v>
      </c>
      <c r="J274" s="3" t="s">
        <v>25</v>
      </c>
      <c r="K274" s="3">
        <v>2</v>
      </c>
      <c r="L274" s="3">
        <v>2</v>
      </c>
      <c r="M274" s="3">
        <v>2</v>
      </c>
      <c r="N274" s="3">
        <v>2</v>
      </c>
      <c r="O274" s="4">
        <f t="shared" si="8"/>
        <v>8</v>
      </c>
      <c r="P274" s="3"/>
      <c r="Q274" s="6" t="str">
        <f t="shared" si="9"/>
        <v>OK</v>
      </c>
      <c r="R274" s="6" t="s">
        <v>355</v>
      </c>
    </row>
    <row r="275" spans="1:18" ht="33.950000000000003" customHeight="1" x14ac:dyDescent="0.25">
      <c r="A275" s="10">
        <v>274</v>
      </c>
      <c r="B275" s="2" t="s">
        <v>353</v>
      </c>
      <c r="C275" s="2" t="s">
        <v>134</v>
      </c>
      <c r="D275" s="2" t="s">
        <v>344</v>
      </c>
      <c r="E275" s="2" t="s">
        <v>22</v>
      </c>
      <c r="F275" s="10">
        <v>8</v>
      </c>
      <c r="G275" s="2" t="s">
        <v>31</v>
      </c>
      <c r="H275" s="7" t="str">
        <f>HYPERLINK("mast3r/outputs/llff_orchids_scen_4/reconstruction.glb","mast3r/outputs/llff_orchids_scen_4/reconstruction.glb")</f>
        <v>mast3r/outputs/llff_orchids_scen_4/reconstruction.glb</v>
      </c>
      <c r="I275" s="6" t="s">
        <v>354</v>
      </c>
      <c r="J275" s="3" t="s">
        <v>25</v>
      </c>
      <c r="K275" s="3">
        <v>2</v>
      </c>
      <c r="L275" s="3">
        <v>1</v>
      </c>
      <c r="M275" s="3">
        <v>2</v>
      </c>
      <c r="N275" s="3">
        <v>1</v>
      </c>
      <c r="O275" s="4">
        <f t="shared" si="8"/>
        <v>6</v>
      </c>
      <c r="P275" s="3"/>
      <c r="Q275" s="6" t="str">
        <f t="shared" si="9"/>
        <v>OK</v>
      </c>
      <c r="R275" s="6" t="s">
        <v>355</v>
      </c>
    </row>
    <row r="276" spans="1:18" ht="33.950000000000003" customHeight="1" x14ac:dyDescent="0.25">
      <c r="A276" s="10">
        <v>275</v>
      </c>
      <c r="B276" s="2" t="s">
        <v>353</v>
      </c>
      <c r="C276" s="2" t="s">
        <v>134</v>
      </c>
      <c r="D276" s="2" t="s">
        <v>344</v>
      </c>
      <c r="E276" s="2" t="s">
        <v>22</v>
      </c>
      <c r="F276" s="10">
        <v>8</v>
      </c>
      <c r="G276" s="2" t="s">
        <v>27</v>
      </c>
      <c r="H276" s="7" t="str">
        <f>HYPERLINK("mapany/outputs/llff_orchids_scen_4/reconstruction.glb","mapany/outputs/llff_orchids_scen_4/reconstruction.glb")</f>
        <v>mapany/outputs/llff_orchids_scen_4/reconstruction.glb</v>
      </c>
      <c r="I276" s="6" t="s">
        <v>354</v>
      </c>
      <c r="J276" s="3" t="s">
        <v>25</v>
      </c>
      <c r="K276" s="3">
        <v>2</v>
      </c>
      <c r="L276" s="3">
        <v>2</v>
      </c>
      <c r="M276" s="3">
        <v>1</v>
      </c>
      <c r="N276" s="3">
        <v>2</v>
      </c>
      <c r="O276" s="4">
        <f t="shared" si="8"/>
        <v>7</v>
      </c>
      <c r="P276" s="3"/>
      <c r="Q276" s="6" t="str">
        <f t="shared" si="9"/>
        <v>OK</v>
      </c>
      <c r="R276" s="6" t="s">
        <v>355</v>
      </c>
    </row>
    <row r="277" spans="1:18" ht="33.950000000000003" customHeight="1" x14ac:dyDescent="0.25">
      <c r="A277" s="10">
        <v>276</v>
      </c>
      <c r="B277" s="2" t="s">
        <v>356</v>
      </c>
      <c r="C277" s="2" t="s">
        <v>134</v>
      </c>
      <c r="D277" s="2" t="s">
        <v>357</v>
      </c>
      <c r="E277" s="2" t="s">
        <v>54</v>
      </c>
      <c r="F277" s="10">
        <v>1</v>
      </c>
      <c r="G277" s="2" t="s">
        <v>23</v>
      </c>
      <c r="H277" s="7" t="str">
        <f>HYPERLINK("vggt/outputs/llff_room_scen_1/reconstruction.glb","vggt/outputs/llff_room_scen_1/reconstruction.glb")</f>
        <v>vggt/outputs/llff_room_scen_1/reconstruction.glb</v>
      </c>
      <c r="I277" s="6" t="s">
        <v>358</v>
      </c>
      <c r="J277" s="3" t="s">
        <v>25</v>
      </c>
      <c r="K277" s="3">
        <v>0</v>
      </c>
      <c r="L277" s="3">
        <v>0</v>
      </c>
      <c r="M277" s="3">
        <v>2</v>
      </c>
      <c r="N277" s="3">
        <v>1</v>
      </c>
      <c r="O277" s="4">
        <f t="shared" si="8"/>
        <v>3</v>
      </c>
      <c r="P277" s="3"/>
      <c r="Q277" s="6" t="str">
        <f t="shared" si="9"/>
        <v>OK</v>
      </c>
      <c r="R277" s="6" t="s">
        <v>359</v>
      </c>
    </row>
    <row r="278" spans="1:18" ht="33.950000000000003" customHeight="1" x14ac:dyDescent="0.25">
      <c r="A278" s="10">
        <v>277</v>
      </c>
      <c r="B278" s="2" t="s">
        <v>356</v>
      </c>
      <c r="C278" s="2" t="s">
        <v>134</v>
      </c>
      <c r="D278" s="2" t="s">
        <v>357</v>
      </c>
      <c r="E278" s="2" t="s">
        <v>54</v>
      </c>
      <c r="F278" s="10">
        <v>1</v>
      </c>
      <c r="G278" s="2" t="s">
        <v>27</v>
      </c>
      <c r="H278" s="7" t="str">
        <f>HYPERLINK("mapany/outputs/llff_room_scen_1/reconstruction.glb","mapany/outputs/llff_room_scen_1/reconstruction.glb")</f>
        <v>mapany/outputs/llff_room_scen_1/reconstruction.glb</v>
      </c>
      <c r="I278" s="6" t="s">
        <v>358</v>
      </c>
      <c r="J278" s="3" t="s">
        <v>25</v>
      </c>
      <c r="K278" s="3">
        <v>2</v>
      </c>
      <c r="L278" s="3">
        <v>2</v>
      </c>
      <c r="M278" s="3">
        <v>2</v>
      </c>
      <c r="N278" s="3">
        <v>2</v>
      </c>
      <c r="O278" s="4">
        <f t="shared" si="8"/>
        <v>8</v>
      </c>
      <c r="P278" s="3"/>
      <c r="Q278" s="6" t="str">
        <f t="shared" si="9"/>
        <v>OK</v>
      </c>
      <c r="R278" s="6" t="s">
        <v>359</v>
      </c>
    </row>
    <row r="279" spans="1:18" ht="33.950000000000003" customHeight="1" x14ac:dyDescent="0.25">
      <c r="A279" s="10">
        <v>278</v>
      </c>
      <c r="B279" s="2" t="s">
        <v>360</v>
      </c>
      <c r="C279" s="2" t="s">
        <v>134</v>
      </c>
      <c r="D279" s="2" t="s">
        <v>357</v>
      </c>
      <c r="E279" s="2" t="s">
        <v>54</v>
      </c>
      <c r="F279" s="10">
        <v>2</v>
      </c>
      <c r="G279" s="2" t="s">
        <v>23</v>
      </c>
      <c r="H279" s="7" t="str">
        <f>HYPERLINK("vggt/outputs/llff_room_scen_2/reconstruction.glb","vggt/outputs/llff_room_scen_2/reconstruction.glb")</f>
        <v>vggt/outputs/llff_room_scen_2/reconstruction.glb</v>
      </c>
      <c r="I279" s="6" t="s">
        <v>361</v>
      </c>
      <c r="J279" s="3" t="s">
        <v>25</v>
      </c>
      <c r="K279" s="3">
        <v>1</v>
      </c>
      <c r="L279" s="3">
        <v>1</v>
      </c>
      <c r="M279" s="3">
        <v>3</v>
      </c>
      <c r="N279" s="3">
        <v>1</v>
      </c>
      <c r="O279" s="4">
        <f t="shared" si="8"/>
        <v>6</v>
      </c>
      <c r="P279" s="3"/>
      <c r="Q279" s="6" t="str">
        <f t="shared" si="9"/>
        <v>OK</v>
      </c>
      <c r="R279" s="6" t="s">
        <v>362</v>
      </c>
    </row>
    <row r="280" spans="1:18" ht="33.950000000000003" customHeight="1" x14ac:dyDescent="0.25">
      <c r="A280" s="10">
        <v>279</v>
      </c>
      <c r="B280" s="2" t="s">
        <v>360</v>
      </c>
      <c r="C280" s="2" t="s">
        <v>134</v>
      </c>
      <c r="D280" s="2" t="s">
        <v>357</v>
      </c>
      <c r="E280" s="2" t="s">
        <v>54</v>
      </c>
      <c r="F280" s="10">
        <v>2</v>
      </c>
      <c r="G280" s="2" t="s">
        <v>31</v>
      </c>
      <c r="H280" s="7" t="str">
        <f>HYPERLINK("mast3r/outputs/llff_room_scen_2/reconstruction.glb","mast3r/outputs/llff_room_scen_2/reconstruction.glb")</f>
        <v>mast3r/outputs/llff_room_scen_2/reconstruction.glb</v>
      </c>
      <c r="I280" s="6" t="s">
        <v>361</v>
      </c>
      <c r="J280" s="3" t="s">
        <v>25</v>
      </c>
      <c r="K280" s="3">
        <v>1</v>
      </c>
      <c r="L280" s="3">
        <v>1</v>
      </c>
      <c r="M280" s="3">
        <v>2</v>
      </c>
      <c r="N280" s="3">
        <v>1</v>
      </c>
      <c r="O280" s="4">
        <f t="shared" si="8"/>
        <v>5</v>
      </c>
      <c r="P280" s="3"/>
      <c r="Q280" s="6" t="str">
        <f t="shared" si="9"/>
        <v>OK</v>
      </c>
      <c r="R280" s="6" t="s">
        <v>362</v>
      </c>
    </row>
    <row r="281" spans="1:18" ht="33.950000000000003" customHeight="1" x14ac:dyDescent="0.25">
      <c r="A281" s="10">
        <v>280</v>
      </c>
      <c r="B281" s="2" t="s">
        <v>360</v>
      </c>
      <c r="C281" s="2" t="s">
        <v>134</v>
      </c>
      <c r="D281" s="2" t="s">
        <v>357</v>
      </c>
      <c r="E281" s="2" t="s">
        <v>54</v>
      </c>
      <c r="F281" s="10">
        <v>2</v>
      </c>
      <c r="G281" s="2" t="s">
        <v>27</v>
      </c>
      <c r="H281" s="7" t="str">
        <f>HYPERLINK("mapany/outputs/llff_room_scen_2/reconstruction.glb","mapany/outputs/llff_room_scen_2/reconstruction.glb")</f>
        <v>mapany/outputs/llff_room_scen_2/reconstruction.glb</v>
      </c>
      <c r="I281" s="6" t="s">
        <v>361</v>
      </c>
      <c r="J281" s="3" t="s">
        <v>25</v>
      </c>
      <c r="K281" s="3">
        <v>2</v>
      </c>
      <c r="L281" s="3">
        <v>2</v>
      </c>
      <c r="M281" s="3">
        <v>2</v>
      </c>
      <c r="N281" s="3">
        <v>2</v>
      </c>
      <c r="O281" s="4">
        <f t="shared" si="8"/>
        <v>8</v>
      </c>
      <c r="P281" s="3"/>
      <c r="Q281" s="6" t="str">
        <f t="shared" si="9"/>
        <v>OK</v>
      </c>
      <c r="R281" s="6" t="s">
        <v>362</v>
      </c>
    </row>
    <row r="282" spans="1:18" ht="33.950000000000003" customHeight="1" x14ac:dyDescent="0.25">
      <c r="A282" s="10">
        <v>281</v>
      </c>
      <c r="B282" s="2" t="s">
        <v>363</v>
      </c>
      <c r="C282" s="2" t="s">
        <v>134</v>
      </c>
      <c r="D282" s="2" t="s">
        <v>357</v>
      </c>
      <c r="E282" s="2" t="s">
        <v>54</v>
      </c>
      <c r="F282" s="10">
        <v>4</v>
      </c>
      <c r="G282" s="2" t="s">
        <v>23</v>
      </c>
      <c r="H282" s="7" t="str">
        <f>HYPERLINK("vggt/outputs/llff_room_scen_3/reconstruction.glb","vggt/outputs/llff_room_scen_3/reconstruction.glb")</f>
        <v>vggt/outputs/llff_room_scen_3/reconstruction.glb</v>
      </c>
      <c r="I282" s="6" t="s">
        <v>364</v>
      </c>
      <c r="J282" s="3" t="s">
        <v>25</v>
      </c>
      <c r="K282" s="3">
        <v>1</v>
      </c>
      <c r="L282" s="3">
        <v>1</v>
      </c>
      <c r="M282" s="3">
        <v>2</v>
      </c>
      <c r="N282" s="3">
        <v>1</v>
      </c>
      <c r="O282" s="4">
        <f t="shared" si="8"/>
        <v>5</v>
      </c>
      <c r="P282" s="3"/>
      <c r="Q282" s="6" t="str">
        <f t="shared" si="9"/>
        <v>OK</v>
      </c>
      <c r="R282" s="6" t="s">
        <v>365</v>
      </c>
    </row>
    <row r="283" spans="1:18" ht="33.950000000000003" customHeight="1" x14ac:dyDescent="0.25">
      <c r="A283" s="10">
        <v>282</v>
      </c>
      <c r="B283" s="2" t="s">
        <v>363</v>
      </c>
      <c r="C283" s="2" t="s">
        <v>134</v>
      </c>
      <c r="D283" s="2" t="s">
        <v>357</v>
      </c>
      <c r="E283" s="2" t="s">
        <v>54</v>
      </c>
      <c r="F283" s="10">
        <v>4</v>
      </c>
      <c r="G283" s="2" t="s">
        <v>31</v>
      </c>
      <c r="H283" s="7" t="str">
        <f>HYPERLINK("mast3r/outputs/llff_room_scen_3/reconstruction.glb","mast3r/outputs/llff_room_scen_3/reconstruction.glb")</f>
        <v>mast3r/outputs/llff_room_scen_3/reconstruction.glb</v>
      </c>
      <c r="I283" s="6" t="s">
        <v>364</v>
      </c>
      <c r="J283" s="3" t="s">
        <v>25</v>
      </c>
      <c r="K283" s="3">
        <v>1</v>
      </c>
      <c r="L283" s="3">
        <v>1</v>
      </c>
      <c r="M283" s="3">
        <v>1</v>
      </c>
      <c r="N283" s="3">
        <v>1</v>
      </c>
      <c r="O283" s="4">
        <f t="shared" si="8"/>
        <v>4</v>
      </c>
      <c r="P283" s="3"/>
      <c r="Q283" s="6" t="str">
        <f t="shared" si="9"/>
        <v>OK</v>
      </c>
      <c r="R283" s="6" t="s">
        <v>365</v>
      </c>
    </row>
    <row r="284" spans="1:18" ht="33.950000000000003" customHeight="1" x14ac:dyDescent="0.25">
      <c r="A284" s="10">
        <v>283</v>
      </c>
      <c r="B284" s="2" t="s">
        <v>363</v>
      </c>
      <c r="C284" s="2" t="s">
        <v>134</v>
      </c>
      <c r="D284" s="2" t="s">
        <v>357</v>
      </c>
      <c r="E284" s="2" t="s">
        <v>54</v>
      </c>
      <c r="F284" s="10">
        <v>4</v>
      </c>
      <c r="G284" s="2" t="s">
        <v>27</v>
      </c>
      <c r="H284" s="7" t="str">
        <f>HYPERLINK("mapany/outputs/llff_room_scen_3/reconstruction.glb","mapany/outputs/llff_room_scen_3/reconstruction.glb")</f>
        <v>mapany/outputs/llff_room_scen_3/reconstruction.glb</v>
      </c>
      <c r="I284" s="6" t="s">
        <v>364</v>
      </c>
      <c r="J284" s="3" t="s">
        <v>25</v>
      </c>
      <c r="K284" s="3">
        <v>2</v>
      </c>
      <c r="L284" s="3">
        <v>1</v>
      </c>
      <c r="M284" s="3">
        <v>2</v>
      </c>
      <c r="N284" s="3">
        <v>2</v>
      </c>
      <c r="O284" s="4">
        <f t="shared" si="8"/>
        <v>7</v>
      </c>
      <c r="P284" s="3"/>
      <c r="Q284" s="6" t="str">
        <f t="shared" si="9"/>
        <v>OK</v>
      </c>
      <c r="R284" s="6" t="s">
        <v>365</v>
      </c>
    </row>
    <row r="285" spans="1:18" ht="33.950000000000003" customHeight="1" x14ac:dyDescent="0.25">
      <c r="A285" s="10">
        <v>284</v>
      </c>
      <c r="B285" s="2" t="s">
        <v>366</v>
      </c>
      <c r="C285" s="2" t="s">
        <v>134</v>
      </c>
      <c r="D285" s="2" t="s">
        <v>357</v>
      </c>
      <c r="E285" s="2" t="s">
        <v>54</v>
      </c>
      <c r="F285" s="10">
        <v>8</v>
      </c>
      <c r="G285" s="2" t="s">
        <v>23</v>
      </c>
      <c r="H285" s="7" t="str">
        <f>HYPERLINK("vggt/outputs/llff_room_scen_4/reconstruction.glb","vggt/outputs/llff_room_scen_4/reconstruction.glb")</f>
        <v>vggt/outputs/llff_room_scen_4/reconstruction.glb</v>
      </c>
      <c r="I285" s="6" t="s">
        <v>367</v>
      </c>
      <c r="J285" s="3" t="s">
        <v>25</v>
      </c>
      <c r="K285" s="3">
        <v>1</v>
      </c>
      <c r="L285" s="3">
        <v>1</v>
      </c>
      <c r="M285" s="3">
        <v>2</v>
      </c>
      <c r="N285" s="3">
        <v>1</v>
      </c>
      <c r="O285" s="4">
        <f t="shared" si="8"/>
        <v>5</v>
      </c>
      <c r="P285" s="3"/>
      <c r="Q285" s="6" t="str">
        <f t="shared" si="9"/>
        <v>OK</v>
      </c>
      <c r="R285" s="6" t="s">
        <v>368</v>
      </c>
    </row>
    <row r="286" spans="1:18" ht="33.950000000000003" customHeight="1" x14ac:dyDescent="0.25">
      <c r="A286" s="10">
        <v>285</v>
      </c>
      <c r="B286" s="2" t="s">
        <v>366</v>
      </c>
      <c r="C286" s="2" t="s">
        <v>134</v>
      </c>
      <c r="D286" s="2" t="s">
        <v>357</v>
      </c>
      <c r="E286" s="2" t="s">
        <v>54</v>
      </c>
      <c r="F286" s="10">
        <v>8</v>
      </c>
      <c r="G286" s="2" t="s">
        <v>31</v>
      </c>
      <c r="H286" s="7" t="str">
        <f>HYPERLINK("mast3r/outputs/llff_room_scen_4/reconstruction.glb","mast3r/outputs/llff_room_scen_4/reconstruction.glb")</f>
        <v>mast3r/outputs/llff_room_scen_4/reconstruction.glb</v>
      </c>
      <c r="I286" s="6" t="s">
        <v>367</v>
      </c>
      <c r="J286" s="3" t="s">
        <v>25</v>
      </c>
      <c r="K286" s="3">
        <v>1</v>
      </c>
      <c r="L286" s="3">
        <v>1</v>
      </c>
      <c r="M286" s="3">
        <v>1</v>
      </c>
      <c r="N286" s="3">
        <v>1</v>
      </c>
      <c r="O286" s="4">
        <f t="shared" si="8"/>
        <v>4</v>
      </c>
      <c r="P286" s="3"/>
      <c r="Q286" s="6" t="str">
        <f t="shared" si="9"/>
        <v>OK</v>
      </c>
      <c r="R286" s="6" t="s">
        <v>368</v>
      </c>
    </row>
    <row r="287" spans="1:18" ht="33.950000000000003" customHeight="1" x14ac:dyDescent="0.25">
      <c r="A287" s="10">
        <v>286</v>
      </c>
      <c r="B287" s="2" t="s">
        <v>366</v>
      </c>
      <c r="C287" s="2" t="s">
        <v>134</v>
      </c>
      <c r="D287" s="2" t="s">
        <v>357</v>
      </c>
      <c r="E287" s="2" t="s">
        <v>54</v>
      </c>
      <c r="F287" s="10">
        <v>8</v>
      </c>
      <c r="G287" s="2" t="s">
        <v>27</v>
      </c>
      <c r="H287" s="7" t="str">
        <f>HYPERLINK("mapany/outputs/llff_room_scen_4/reconstruction.glb","mapany/outputs/llff_room_scen_4/reconstruction.glb")</f>
        <v>mapany/outputs/llff_room_scen_4/reconstruction.glb</v>
      </c>
      <c r="I287" s="6" t="s">
        <v>367</v>
      </c>
      <c r="J287" s="3" t="s">
        <v>25</v>
      </c>
      <c r="K287" s="3">
        <v>2</v>
      </c>
      <c r="L287" s="3">
        <v>1</v>
      </c>
      <c r="M287" s="3">
        <v>2</v>
      </c>
      <c r="N287" s="3">
        <v>2</v>
      </c>
      <c r="O287" s="4">
        <f t="shared" si="8"/>
        <v>7</v>
      </c>
      <c r="P287" s="3"/>
      <c r="Q287" s="6" t="str">
        <f t="shared" si="9"/>
        <v>OK</v>
      </c>
      <c r="R287" s="6" t="s">
        <v>368</v>
      </c>
    </row>
    <row r="288" spans="1:18" ht="33.950000000000003" customHeight="1" x14ac:dyDescent="0.25">
      <c r="A288" s="10">
        <v>287</v>
      </c>
      <c r="B288" s="2" t="s">
        <v>369</v>
      </c>
      <c r="C288" s="2" t="s">
        <v>67</v>
      </c>
      <c r="D288" s="2" t="s">
        <v>370</v>
      </c>
      <c r="E288" s="2" t="s">
        <v>54</v>
      </c>
      <c r="F288" s="10">
        <v>1</v>
      </c>
      <c r="G288" s="2" t="s">
        <v>23</v>
      </c>
      <c r="H288" s="7" t="str">
        <f>HYPERLINK("vggt/outputs/custom_room_1_scen_1/reconstruction.glb","vggt/outputs/custom_room_1_scen_1/reconstruction.glb")</f>
        <v>vggt/outputs/custom_room_1_scen_1/reconstruction.glb</v>
      </c>
      <c r="I288" s="6" t="s">
        <v>371</v>
      </c>
      <c r="J288" s="3" t="s">
        <v>25</v>
      </c>
      <c r="K288" s="3">
        <v>1</v>
      </c>
      <c r="L288" s="3">
        <v>2</v>
      </c>
      <c r="M288" s="3">
        <v>3</v>
      </c>
      <c r="N288" s="3">
        <v>1</v>
      </c>
      <c r="O288" s="4">
        <f t="shared" si="8"/>
        <v>7</v>
      </c>
      <c r="P288" s="3"/>
      <c r="Q288" s="6" t="str">
        <f t="shared" si="9"/>
        <v>OK</v>
      </c>
      <c r="R288" s="6" t="s">
        <v>372</v>
      </c>
    </row>
    <row r="289" spans="1:18" ht="33.950000000000003" customHeight="1" x14ac:dyDescent="0.25">
      <c r="A289" s="10">
        <v>288</v>
      </c>
      <c r="B289" s="2" t="s">
        <v>369</v>
      </c>
      <c r="C289" s="2" t="s">
        <v>67</v>
      </c>
      <c r="D289" s="2" t="s">
        <v>370</v>
      </c>
      <c r="E289" s="2" t="s">
        <v>54</v>
      </c>
      <c r="F289" s="10">
        <v>1</v>
      </c>
      <c r="G289" s="2" t="s">
        <v>27</v>
      </c>
      <c r="H289" s="7" t="str">
        <f>HYPERLINK("mapany/outputs/custom_room_1_scen_1/reconstruction.glb","mapany/outputs/custom_room_1_scen_1/reconstruction.glb")</f>
        <v>mapany/outputs/custom_room_1_scen_1/reconstruction.glb</v>
      </c>
      <c r="I289" s="6" t="s">
        <v>371</v>
      </c>
      <c r="J289" s="3" t="s">
        <v>25</v>
      </c>
      <c r="K289" s="3">
        <v>3</v>
      </c>
      <c r="L289" s="3">
        <v>2</v>
      </c>
      <c r="M289" s="3">
        <v>3</v>
      </c>
      <c r="N289" s="3">
        <v>3</v>
      </c>
      <c r="O289" s="4">
        <f t="shared" si="8"/>
        <v>11</v>
      </c>
      <c r="P289" s="3"/>
      <c r="Q289" s="6" t="str">
        <f t="shared" si="9"/>
        <v>OK</v>
      </c>
      <c r="R289" s="6" t="s">
        <v>372</v>
      </c>
    </row>
    <row r="290" spans="1:18" ht="33.950000000000003" customHeight="1" x14ac:dyDescent="0.25">
      <c r="A290" s="10">
        <v>289</v>
      </c>
      <c r="B290" s="2" t="s">
        <v>373</v>
      </c>
      <c r="C290" s="2" t="s">
        <v>67</v>
      </c>
      <c r="D290" s="2" t="s">
        <v>370</v>
      </c>
      <c r="E290" s="2" t="s">
        <v>54</v>
      </c>
      <c r="F290" s="10">
        <v>2</v>
      </c>
      <c r="G290" s="2" t="s">
        <v>23</v>
      </c>
      <c r="H290" s="7" t="str">
        <f>HYPERLINK("vggt/outputs/custom_room_1_scen_2/reconstruction.glb","vggt/outputs/custom_room_1_scen_2/reconstruction.glb")</f>
        <v>vggt/outputs/custom_room_1_scen_2/reconstruction.glb</v>
      </c>
      <c r="I290" s="6" t="s">
        <v>374</v>
      </c>
      <c r="J290" s="3" t="s">
        <v>25</v>
      </c>
      <c r="K290" s="3">
        <v>1</v>
      </c>
      <c r="L290" s="3">
        <v>2</v>
      </c>
      <c r="M290" s="3">
        <v>3</v>
      </c>
      <c r="N290" s="3">
        <v>1</v>
      </c>
      <c r="O290" s="4">
        <f t="shared" si="8"/>
        <v>7</v>
      </c>
      <c r="P290" s="3"/>
      <c r="Q290" s="6" t="str">
        <f t="shared" si="9"/>
        <v>OK</v>
      </c>
      <c r="R290" s="6" t="s">
        <v>375</v>
      </c>
    </row>
    <row r="291" spans="1:18" ht="33.950000000000003" customHeight="1" x14ac:dyDescent="0.25">
      <c r="A291" s="10">
        <v>290</v>
      </c>
      <c r="B291" s="2" t="s">
        <v>373</v>
      </c>
      <c r="C291" s="2" t="s">
        <v>67</v>
      </c>
      <c r="D291" s="2" t="s">
        <v>370</v>
      </c>
      <c r="E291" s="2" t="s">
        <v>54</v>
      </c>
      <c r="F291" s="10">
        <v>2</v>
      </c>
      <c r="G291" s="2" t="s">
        <v>31</v>
      </c>
      <c r="H291" s="7" t="str">
        <f>HYPERLINK("mast3r/outputs/custom_room_1_scen_2/reconstruction.glb","mast3r/outputs/custom_room_1_scen_2/reconstruction.glb")</f>
        <v>mast3r/outputs/custom_room_1_scen_2/reconstruction.glb</v>
      </c>
      <c r="I291" s="6" t="s">
        <v>374</v>
      </c>
      <c r="J291" s="3" t="s">
        <v>25</v>
      </c>
      <c r="K291" s="3">
        <v>2</v>
      </c>
      <c r="L291" s="3">
        <v>1</v>
      </c>
      <c r="M291" s="3">
        <v>2</v>
      </c>
      <c r="N291" s="3">
        <v>2</v>
      </c>
      <c r="O291" s="4">
        <f t="shared" si="8"/>
        <v>7</v>
      </c>
      <c r="P291" s="3"/>
      <c r="Q291" s="6" t="str">
        <f t="shared" si="9"/>
        <v>OK</v>
      </c>
      <c r="R291" s="6" t="s">
        <v>375</v>
      </c>
    </row>
    <row r="292" spans="1:18" ht="33.950000000000003" customHeight="1" x14ac:dyDescent="0.25">
      <c r="A292" s="10">
        <v>291</v>
      </c>
      <c r="B292" s="2" t="s">
        <v>373</v>
      </c>
      <c r="C292" s="2" t="s">
        <v>67</v>
      </c>
      <c r="D292" s="2" t="s">
        <v>370</v>
      </c>
      <c r="E292" s="2" t="s">
        <v>54</v>
      </c>
      <c r="F292" s="10">
        <v>2</v>
      </c>
      <c r="G292" s="2" t="s">
        <v>27</v>
      </c>
      <c r="H292" s="7" t="str">
        <f>HYPERLINK("mapany/outputs/custom_room_1_scen_2/reconstruction.glb","mapany/outputs/custom_room_1_scen_2/reconstruction.glb")</f>
        <v>mapany/outputs/custom_room_1_scen_2/reconstruction.glb</v>
      </c>
      <c r="I292" s="6" t="s">
        <v>374</v>
      </c>
      <c r="J292" s="3" t="s">
        <v>25</v>
      </c>
      <c r="K292" s="3">
        <v>3</v>
      </c>
      <c r="L292" s="3">
        <v>2</v>
      </c>
      <c r="M292" s="3">
        <v>3</v>
      </c>
      <c r="N292" s="3">
        <v>2</v>
      </c>
      <c r="O292" s="4">
        <f t="shared" si="8"/>
        <v>10</v>
      </c>
      <c r="P292" s="3"/>
      <c r="Q292" s="6" t="str">
        <f t="shared" si="9"/>
        <v>OK</v>
      </c>
      <c r="R292" s="6" t="s">
        <v>375</v>
      </c>
    </row>
    <row r="293" spans="1:18" ht="33.950000000000003" customHeight="1" x14ac:dyDescent="0.25">
      <c r="A293" s="10">
        <v>292</v>
      </c>
      <c r="B293" s="2" t="s">
        <v>376</v>
      </c>
      <c r="C293" s="2" t="s">
        <v>67</v>
      </c>
      <c r="D293" s="2" t="s">
        <v>370</v>
      </c>
      <c r="E293" s="2" t="s">
        <v>54</v>
      </c>
      <c r="F293" s="10">
        <v>4</v>
      </c>
      <c r="G293" s="2" t="s">
        <v>23</v>
      </c>
      <c r="H293" s="7" t="str">
        <f>HYPERLINK("vggt/outputs/custom_room_1_scen_3/reconstruction.glb","vggt/outputs/custom_room_1_scen_3/reconstruction.glb")</f>
        <v>vggt/outputs/custom_room_1_scen_3/reconstruction.glb</v>
      </c>
      <c r="I293" s="6" t="s">
        <v>377</v>
      </c>
      <c r="J293" s="3" t="s">
        <v>25</v>
      </c>
      <c r="K293" s="3">
        <v>1</v>
      </c>
      <c r="L293" s="3">
        <v>2</v>
      </c>
      <c r="M293" s="3">
        <v>3</v>
      </c>
      <c r="N293" s="3">
        <v>1</v>
      </c>
      <c r="O293" s="4">
        <f t="shared" si="8"/>
        <v>7</v>
      </c>
      <c r="P293" s="3"/>
      <c r="Q293" s="6" t="str">
        <f t="shared" si="9"/>
        <v>OK</v>
      </c>
      <c r="R293" s="6" t="s">
        <v>378</v>
      </c>
    </row>
    <row r="294" spans="1:18" ht="33.950000000000003" customHeight="1" x14ac:dyDescent="0.25">
      <c r="A294" s="10">
        <v>293</v>
      </c>
      <c r="B294" s="2" t="s">
        <v>376</v>
      </c>
      <c r="C294" s="2" t="s">
        <v>67</v>
      </c>
      <c r="D294" s="2" t="s">
        <v>370</v>
      </c>
      <c r="E294" s="2" t="s">
        <v>54</v>
      </c>
      <c r="F294" s="10">
        <v>4</v>
      </c>
      <c r="G294" s="2" t="s">
        <v>31</v>
      </c>
      <c r="H294" s="7" t="str">
        <f>HYPERLINK("mast3r/outputs/custom_room_1_scen_3/reconstruction.glb","mast3r/outputs/custom_room_1_scen_3/reconstruction.glb")</f>
        <v>mast3r/outputs/custom_room_1_scen_3/reconstruction.glb</v>
      </c>
      <c r="I294" s="6" t="s">
        <v>377</v>
      </c>
      <c r="J294" s="3" t="s">
        <v>25</v>
      </c>
      <c r="K294" s="3">
        <v>2</v>
      </c>
      <c r="L294" s="3">
        <v>1</v>
      </c>
      <c r="M294" s="3">
        <v>2</v>
      </c>
      <c r="N294" s="3">
        <v>2</v>
      </c>
      <c r="O294" s="4">
        <f t="shared" si="8"/>
        <v>7</v>
      </c>
      <c r="P294" s="3"/>
      <c r="Q294" s="6" t="str">
        <f t="shared" si="9"/>
        <v>OK</v>
      </c>
      <c r="R294" s="6" t="s">
        <v>378</v>
      </c>
    </row>
    <row r="295" spans="1:18" ht="33.950000000000003" customHeight="1" x14ac:dyDescent="0.25">
      <c r="A295" s="10">
        <v>294</v>
      </c>
      <c r="B295" s="2" t="s">
        <v>376</v>
      </c>
      <c r="C295" s="2" t="s">
        <v>67</v>
      </c>
      <c r="D295" s="2" t="s">
        <v>370</v>
      </c>
      <c r="E295" s="2" t="s">
        <v>54</v>
      </c>
      <c r="F295" s="10">
        <v>4</v>
      </c>
      <c r="G295" s="2" t="s">
        <v>27</v>
      </c>
      <c r="H295" s="7" t="str">
        <f>HYPERLINK("mapany/outputs/custom_room_1_scen_3/reconstruction.glb","mapany/outputs/custom_room_1_scen_3/reconstruction.glb")</f>
        <v>mapany/outputs/custom_room_1_scen_3/reconstruction.glb</v>
      </c>
      <c r="I295" s="6" t="s">
        <v>377</v>
      </c>
      <c r="J295" s="3" t="s">
        <v>25</v>
      </c>
      <c r="K295" s="3">
        <v>3</v>
      </c>
      <c r="L295" s="3">
        <v>2</v>
      </c>
      <c r="M295" s="3">
        <v>2</v>
      </c>
      <c r="N295" s="3">
        <v>2</v>
      </c>
      <c r="O295" s="4">
        <f t="shared" si="8"/>
        <v>9</v>
      </c>
      <c r="P295" s="3"/>
      <c r="Q295" s="6" t="str">
        <f t="shared" si="9"/>
        <v>OK</v>
      </c>
      <c r="R295" s="6" t="s">
        <v>378</v>
      </c>
    </row>
    <row r="296" spans="1:18" ht="33.950000000000003" customHeight="1" x14ac:dyDescent="0.25">
      <c r="A296" s="10">
        <v>295</v>
      </c>
      <c r="B296" s="2" t="s">
        <v>379</v>
      </c>
      <c r="C296" s="2" t="s">
        <v>67</v>
      </c>
      <c r="D296" s="2" t="s">
        <v>370</v>
      </c>
      <c r="E296" s="2" t="s">
        <v>54</v>
      </c>
      <c r="F296" s="10">
        <v>8</v>
      </c>
      <c r="G296" s="2" t="s">
        <v>23</v>
      </c>
      <c r="H296" s="7" t="str">
        <f>HYPERLINK("vggt/outputs/custom_room_1_scen_4/reconstruction.glb","vggt/outputs/custom_room_1_scen_4/reconstruction.glb")</f>
        <v>vggt/outputs/custom_room_1_scen_4/reconstruction.glb</v>
      </c>
      <c r="I296" s="6" t="s">
        <v>380</v>
      </c>
      <c r="J296" s="3" t="s">
        <v>25</v>
      </c>
      <c r="K296" s="3">
        <v>1</v>
      </c>
      <c r="L296" s="3">
        <v>2</v>
      </c>
      <c r="M296" s="3">
        <v>2</v>
      </c>
      <c r="N296" s="3">
        <v>1</v>
      </c>
      <c r="O296" s="4">
        <f t="shared" si="8"/>
        <v>6</v>
      </c>
      <c r="P296" s="3"/>
      <c r="Q296" s="6" t="str">
        <f t="shared" si="9"/>
        <v>OK</v>
      </c>
      <c r="R296" s="6" t="s">
        <v>381</v>
      </c>
    </row>
    <row r="297" spans="1:18" ht="33.950000000000003" customHeight="1" x14ac:dyDescent="0.25">
      <c r="A297" s="10">
        <v>296</v>
      </c>
      <c r="B297" s="2" t="s">
        <v>379</v>
      </c>
      <c r="C297" s="2" t="s">
        <v>67</v>
      </c>
      <c r="D297" s="2" t="s">
        <v>370</v>
      </c>
      <c r="E297" s="2" t="s">
        <v>54</v>
      </c>
      <c r="F297" s="10">
        <v>8</v>
      </c>
      <c r="G297" s="2" t="s">
        <v>31</v>
      </c>
      <c r="H297" s="7" t="str">
        <f>HYPERLINK("mast3r/outputs/custom_room_1_scen_4/reconstruction.glb","mast3r/outputs/custom_room_1_scen_4/reconstruction.glb")</f>
        <v>mast3r/outputs/custom_room_1_scen_4/reconstruction.glb</v>
      </c>
      <c r="I297" s="6" t="s">
        <v>380</v>
      </c>
      <c r="J297" s="3" t="s">
        <v>25</v>
      </c>
      <c r="K297" s="3">
        <v>2</v>
      </c>
      <c r="L297" s="3">
        <v>0</v>
      </c>
      <c r="M297" s="3">
        <v>2</v>
      </c>
      <c r="N297" s="3">
        <v>1</v>
      </c>
      <c r="O297" s="4">
        <f t="shared" si="8"/>
        <v>5</v>
      </c>
      <c r="P297" s="3"/>
      <c r="Q297" s="6" t="str">
        <f t="shared" si="9"/>
        <v>OK</v>
      </c>
      <c r="R297" s="6" t="s">
        <v>381</v>
      </c>
    </row>
    <row r="298" spans="1:18" ht="33.950000000000003" customHeight="1" x14ac:dyDescent="0.25">
      <c r="A298" s="10">
        <v>297</v>
      </c>
      <c r="B298" s="2" t="s">
        <v>379</v>
      </c>
      <c r="C298" s="2" t="s">
        <v>67</v>
      </c>
      <c r="D298" s="2" t="s">
        <v>370</v>
      </c>
      <c r="E298" s="2" t="s">
        <v>54</v>
      </c>
      <c r="F298" s="10">
        <v>8</v>
      </c>
      <c r="G298" s="2" t="s">
        <v>27</v>
      </c>
      <c r="H298" s="7" t="str">
        <f>HYPERLINK("mapany/outputs/custom_room_1_scen_4/reconstruction.glb","mapany/outputs/custom_room_1_scen_4/reconstruction.glb")</f>
        <v>mapany/outputs/custom_room_1_scen_4/reconstruction.glb</v>
      </c>
      <c r="I298" s="6" t="s">
        <v>380</v>
      </c>
      <c r="J298" s="3" t="s">
        <v>25</v>
      </c>
      <c r="K298" s="3">
        <v>2</v>
      </c>
      <c r="L298" s="3">
        <v>2</v>
      </c>
      <c r="M298" s="3">
        <v>1</v>
      </c>
      <c r="N298" s="3">
        <v>2</v>
      </c>
      <c r="O298" s="4">
        <f t="shared" si="8"/>
        <v>7</v>
      </c>
      <c r="P298" s="3"/>
      <c r="Q298" s="6" t="str">
        <f t="shared" si="9"/>
        <v>OK</v>
      </c>
      <c r="R298" s="6" t="s">
        <v>381</v>
      </c>
    </row>
    <row r="299" spans="1:18" ht="33.950000000000003" customHeight="1" x14ac:dyDescent="0.25">
      <c r="A299" s="10">
        <v>298</v>
      </c>
      <c r="B299" s="2" t="s">
        <v>382</v>
      </c>
      <c r="C299" s="2" t="s">
        <v>67</v>
      </c>
      <c r="D299" s="2" t="s">
        <v>383</v>
      </c>
      <c r="E299" s="2" t="s">
        <v>54</v>
      </c>
      <c r="F299" s="10">
        <v>1</v>
      </c>
      <c r="G299" s="2" t="s">
        <v>23</v>
      </c>
      <c r="H299" s="7" t="str">
        <f>HYPERLINK("vggt/outputs/custom_room_2_scen_1/reconstruction.glb","vggt/outputs/custom_room_2_scen_1/reconstruction.glb")</f>
        <v>vggt/outputs/custom_room_2_scen_1/reconstruction.glb</v>
      </c>
      <c r="I299" s="6" t="s">
        <v>384</v>
      </c>
      <c r="J299" s="3" t="s">
        <v>25</v>
      </c>
      <c r="K299" s="3">
        <v>1</v>
      </c>
      <c r="L299" s="3">
        <v>2</v>
      </c>
      <c r="M299" s="3">
        <v>3</v>
      </c>
      <c r="N299" s="3">
        <v>1</v>
      </c>
      <c r="O299" s="4">
        <f t="shared" si="8"/>
        <v>7</v>
      </c>
      <c r="P299" s="3"/>
      <c r="Q299" s="6" t="str">
        <f t="shared" si="9"/>
        <v>OK</v>
      </c>
      <c r="R299" s="6" t="s">
        <v>385</v>
      </c>
    </row>
    <row r="300" spans="1:18" ht="33.950000000000003" customHeight="1" x14ac:dyDescent="0.25">
      <c r="A300" s="10">
        <v>299</v>
      </c>
      <c r="B300" s="2" t="s">
        <v>382</v>
      </c>
      <c r="C300" s="2" t="s">
        <v>67</v>
      </c>
      <c r="D300" s="2" t="s">
        <v>383</v>
      </c>
      <c r="E300" s="2" t="s">
        <v>54</v>
      </c>
      <c r="F300" s="10">
        <v>1</v>
      </c>
      <c r="G300" s="2" t="s">
        <v>27</v>
      </c>
      <c r="H300" s="7" t="str">
        <f>HYPERLINK("mapany/outputs/custom_room_2_scen_1/reconstruction.glb","mapany/outputs/custom_room_2_scen_1/reconstruction.glb")</f>
        <v>mapany/outputs/custom_room_2_scen_1/reconstruction.glb</v>
      </c>
      <c r="I300" s="6" t="s">
        <v>384</v>
      </c>
      <c r="J300" s="3" t="s">
        <v>25</v>
      </c>
      <c r="K300" s="3">
        <v>3</v>
      </c>
      <c r="L300" s="3">
        <v>2</v>
      </c>
      <c r="M300" s="3">
        <v>3</v>
      </c>
      <c r="N300" s="3">
        <v>2</v>
      </c>
      <c r="O300" s="4">
        <f t="shared" si="8"/>
        <v>10</v>
      </c>
      <c r="P300" s="3"/>
      <c r="Q300" s="6" t="str">
        <f t="shared" si="9"/>
        <v>OK</v>
      </c>
      <c r="R300" s="6" t="s">
        <v>385</v>
      </c>
    </row>
    <row r="301" spans="1:18" ht="33.950000000000003" customHeight="1" x14ac:dyDescent="0.25">
      <c r="A301" s="10">
        <v>300</v>
      </c>
      <c r="B301" s="2" t="s">
        <v>386</v>
      </c>
      <c r="C301" s="2" t="s">
        <v>67</v>
      </c>
      <c r="D301" s="2" t="s">
        <v>383</v>
      </c>
      <c r="E301" s="2" t="s">
        <v>54</v>
      </c>
      <c r="F301" s="10">
        <v>2</v>
      </c>
      <c r="G301" s="2" t="s">
        <v>23</v>
      </c>
      <c r="H301" s="7" t="str">
        <f>HYPERLINK("vggt/outputs/custom_room_2_scen_2/reconstruction.glb","vggt/outputs/custom_room_2_scen_2/reconstruction.glb")</f>
        <v>vggt/outputs/custom_room_2_scen_2/reconstruction.glb</v>
      </c>
      <c r="I301" s="6" t="s">
        <v>387</v>
      </c>
      <c r="J301" s="3" t="s">
        <v>25</v>
      </c>
      <c r="K301" s="3">
        <v>1</v>
      </c>
      <c r="L301" s="3">
        <v>2</v>
      </c>
      <c r="M301" s="3">
        <v>3</v>
      </c>
      <c r="N301" s="3">
        <v>1</v>
      </c>
      <c r="O301" s="4">
        <f t="shared" si="8"/>
        <v>7</v>
      </c>
      <c r="P301" s="3"/>
      <c r="Q301" s="6" t="str">
        <f t="shared" si="9"/>
        <v>OK</v>
      </c>
      <c r="R301" s="6" t="s">
        <v>388</v>
      </c>
    </row>
    <row r="302" spans="1:18" ht="33.950000000000003" customHeight="1" x14ac:dyDescent="0.25">
      <c r="A302" s="10">
        <v>301</v>
      </c>
      <c r="B302" s="2" t="s">
        <v>386</v>
      </c>
      <c r="C302" s="2" t="s">
        <v>67</v>
      </c>
      <c r="D302" s="2" t="s">
        <v>383</v>
      </c>
      <c r="E302" s="2" t="s">
        <v>54</v>
      </c>
      <c r="F302" s="10">
        <v>2</v>
      </c>
      <c r="G302" s="2" t="s">
        <v>31</v>
      </c>
      <c r="H302" s="7" t="str">
        <f>HYPERLINK("mast3r/outputs/custom_room_2_scen_2/reconstruction.glb","mast3r/outputs/custom_room_2_scen_2/reconstruction.glb")</f>
        <v>mast3r/outputs/custom_room_2_scen_2/reconstruction.glb</v>
      </c>
      <c r="I302" s="6" t="s">
        <v>387</v>
      </c>
      <c r="J302" s="3" t="s">
        <v>25</v>
      </c>
      <c r="K302" s="3">
        <v>2</v>
      </c>
      <c r="L302" s="3">
        <v>1</v>
      </c>
      <c r="M302" s="3">
        <v>2</v>
      </c>
      <c r="N302" s="3">
        <v>2</v>
      </c>
      <c r="O302" s="4">
        <f t="shared" si="8"/>
        <v>7</v>
      </c>
      <c r="P302" s="3"/>
      <c r="Q302" s="6" t="str">
        <f t="shared" si="9"/>
        <v>OK</v>
      </c>
      <c r="R302" s="6" t="s">
        <v>388</v>
      </c>
    </row>
    <row r="303" spans="1:18" ht="33.950000000000003" customHeight="1" x14ac:dyDescent="0.25">
      <c r="A303" s="10">
        <v>302</v>
      </c>
      <c r="B303" s="2" t="s">
        <v>386</v>
      </c>
      <c r="C303" s="2" t="s">
        <v>67</v>
      </c>
      <c r="D303" s="2" t="s">
        <v>383</v>
      </c>
      <c r="E303" s="2" t="s">
        <v>54</v>
      </c>
      <c r="F303" s="10">
        <v>2</v>
      </c>
      <c r="G303" s="2" t="s">
        <v>27</v>
      </c>
      <c r="H303" s="7" t="str">
        <f>HYPERLINK("mapany/outputs/custom_room_2_scen_2/reconstruction.glb","mapany/outputs/custom_room_2_scen_2/reconstruction.glb")</f>
        <v>mapany/outputs/custom_room_2_scen_2/reconstruction.glb</v>
      </c>
      <c r="I303" s="6" t="s">
        <v>387</v>
      </c>
      <c r="J303" s="3" t="s">
        <v>25</v>
      </c>
      <c r="K303" s="3">
        <v>2</v>
      </c>
      <c r="L303" s="3">
        <v>2</v>
      </c>
      <c r="M303" s="3">
        <v>3</v>
      </c>
      <c r="N303" s="3">
        <v>2</v>
      </c>
      <c r="O303" s="4">
        <f t="shared" si="8"/>
        <v>9</v>
      </c>
      <c r="P303" s="3"/>
      <c r="Q303" s="6" t="str">
        <f t="shared" si="9"/>
        <v>OK</v>
      </c>
      <c r="R303" s="6" t="s">
        <v>388</v>
      </c>
    </row>
    <row r="304" spans="1:18" ht="33.950000000000003" customHeight="1" x14ac:dyDescent="0.25">
      <c r="A304" s="10">
        <v>303</v>
      </c>
      <c r="B304" s="2" t="s">
        <v>389</v>
      </c>
      <c r="C304" s="2" t="s">
        <v>67</v>
      </c>
      <c r="D304" s="2" t="s">
        <v>383</v>
      </c>
      <c r="E304" s="2" t="s">
        <v>54</v>
      </c>
      <c r="F304" s="10">
        <v>4</v>
      </c>
      <c r="G304" s="2" t="s">
        <v>23</v>
      </c>
      <c r="H304" s="7" t="str">
        <f>HYPERLINK("vggt/outputs/custom_room_2_scen_3/reconstruction.glb","vggt/outputs/custom_room_2_scen_3/reconstruction.glb")</f>
        <v>vggt/outputs/custom_room_2_scen_3/reconstruction.glb</v>
      </c>
      <c r="I304" s="6" t="s">
        <v>390</v>
      </c>
      <c r="J304" s="3" t="s">
        <v>25</v>
      </c>
      <c r="K304" s="3">
        <v>1</v>
      </c>
      <c r="L304" s="3">
        <v>2</v>
      </c>
      <c r="M304" s="3">
        <v>2</v>
      </c>
      <c r="N304" s="3">
        <v>1</v>
      </c>
      <c r="O304" s="4">
        <f t="shared" si="8"/>
        <v>6</v>
      </c>
      <c r="P304" s="3"/>
      <c r="Q304" s="6" t="str">
        <f t="shared" si="9"/>
        <v>OK</v>
      </c>
      <c r="R304" s="6" t="s">
        <v>391</v>
      </c>
    </row>
    <row r="305" spans="1:18" ht="33.950000000000003" customHeight="1" x14ac:dyDescent="0.25">
      <c r="A305" s="10">
        <v>304</v>
      </c>
      <c r="B305" s="2" t="s">
        <v>389</v>
      </c>
      <c r="C305" s="2" t="s">
        <v>67</v>
      </c>
      <c r="D305" s="2" t="s">
        <v>383</v>
      </c>
      <c r="E305" s="2" t="s">
        <v>54</v>
      </c>
      <c r="F305" s="10">
        <v>4</v>
      </c>
      <c r="G305" s="2" t="s">
        <v>31</v>
      </c>
      <c r="H305" s="7" t="str">
        <f>HYPERLINK("mast3r/outputs/custom_room_2_scen_3/reconstruction.glb","mast3r/outputs/custom_room_2_scen_3/reconstruction.glb")</f>
        <v>mast3r/outputs/custom_room_2_scen_3/reconstruction.glb</v>
      </c>
      <c r="I305" s="6" t="s">
        <v>390</v>
      </c>
      <c r="J305" s="3" t="s">
        <v>25</v>
      </c>
      <c r="K305" s="3">
        <v>2</v>
      </c>
      <c r="L305" s="3">
        <v>1</v>
      </c>
      <c r="M305" s="3">
        <v>2</v>
      </c>
      <c r="N305" s="3">
        <v>2</v>
      </c>
      <c r="O305" s="4">
        <f t="shared" si="8"/>
        <v>7</v>
      </c>
      <c r="P305" s="3"/>
      <c r="Q305" s="6" t="str">
        <f t="shared" si="9"/>
        <v>OK</v>
      </c>
      <c r="R305" s="6" t="s">
        <v>391</v>
      </c>
    </row>
    <row r="306" spans="1:18" ht="33.950000000000003" customHeight="1" x14ac:dyDescent="0.25">
      <c r="A306" s="10">
        <v>305</v>
      </c>
      <c r="B306" s="2" t="s">
        <v>389</v>
      </c>
      <c r="C306" s="2" t="s">
        <v>67</v>
      </c>
      <c r="D306" s="2" t="s">
        <v>383</v>
      </c>
      <c r="E306" s="2" t="s">
        <v>54</v>
      </c>
      <c r="F306" s="10">
        <v>4</v>
      </c>
      <c r="G306" s="2" t="s">
        <v>27</v>
      </c>
      <c r="H306" s="7" t="str">
        <f>HYPERLINK("mapany/outputs/custom_room_2_scen_3/reconstruction.glb","mapany/outputs/custom_room_2_scen_3/reconstruction.glb")</f>
        <v>mapany/outputs/custom_room_2_scen_3/reconstruction.glb</v>
      </c>
      <c r="I306" s="6" t="s">
        <v>390</v>
      </c>
      <c r="J306" s="3" t="s">
        <v>25</v>
      </c>
      <c r="K306" s="3">
        <v>2</v>
      </c>
      <c r="L306" s="3">
        <v>1</v>
      </c>
      <c r="M306" s="3">
        <v>2</v>
      </c>
      <c r="N306" s="3">
        <v>2</v>
      </c>
      <c r="O306" s="4">
        <f t="shared" si="8"/>
        <v>7</v>
      </c>
      <c r="P306" s="3"/>
      <c r="Q306" s="6" t="str">
        <f t="shared" si="9"/>
        <v>OK</v>
      </c>
      <c r="R306" s="6" t="s">
        <v>391</v>
      </c>
    </row>
    <row r="307" spans="1:18" ht="33.950000000000003" customHeight="1" x14ac:dyDescent="0.25">
      <c r="A307" s="10">
        <v>306</v>
      </c>
      <c r="B307" s="2" t="s">
        <v>392</v>
      </c>
      <c r="C307" s="2" t="s">
        <v>67</v>
      </c>
      <c r="D307" s="2" t="s">
        <v>383</v>
      </c>
      <c r="E307" s="2" t="s">
        <v>54</v>
      </c>
      <c r="F307" s="10">
        <v>8</v>
      </c>
      <c r="G307" s="2" t="s">
        <v>23</v>
      </c>
      <c r="H307" s="7" t="str">
        <f>HYPERLINK("vggt/outputs/custom_room_2_scen_4/reconstruction.glb","vggt/outputs/custom_room_2_scen_4/reconstruction.glb")</f>
        <v>vggt/outputs/custom_room_2_scen_4/reconstruction.glb</v>
      </c>
      <c r="I307" s="6" t="s">
        <v>393</v>
      </c>
      <c r="J307" s="3" t="s">
        <v>25</v>
      </c>
      <c r="K307" s="3">
        <v>1</v>
      </c>
      <c r="L307" s="3">
        <v>2</v>
      </c>
      <c r="M307" s="3">
        <v>2</v>
      </c>
      <c r="N307" s="3">
        <v>1</v>
      </c>
      <c r="O307" s="4">
        <f t="shared" si="8"/>
        <v>6</v>
      </c>
      <c r="P307" s="3"/>
      <c r="Q307" s="6" t="str">
        <f t="shared" si="9"/>
        <v>OK</v>
      </c>
      <c r="R307" s="6" t="s">
        <v>394</v>
      </c>
    </row>
    <row r="308" spans="1:18" ht="33.950000000000003" customHeight="1" x14ac:dyDescent="0.25">
      <c r="A308" s="10">
        <v>307</v>
      </c>
      <c r="B308" s="2" t="s">
        <v>392</v>
      </c>
      <c r="C308" s="2" t="s">
        <v>67</v>
      </c>
      <c r="D308" s="2" t="s">
        <v>383</v>
      </c>
      <c r="E308" s="2" t="s">
        <v>54</v>
      </c>
      <c r="F308" s="10">
        <v>8</v>
      </c>
      <c r="G308" s="2" t="s">
        <v>31</v>
      </c>
      <c r="H308" s="7" t="str">
        <f>HYPERLINK("mast3r/outputs/custom_room_2_scen_4/reconstruction.glb","mast3r/outputs/custom_room_2_scen_4/reconstruction.glb")</f>
        <v>mast3r/outputs/custom_room_2_scen_4/reconstruction.glb</v>
      </c>
      <c r="I308" s="6" t="s">
        <v>393</v>
      </c>
      <c r="J308" s="3" t="s">
        <v>25</v>
      </c>
      <c r="K308" s="3">
        <v>2</v>
      </c>
      <c r="L308" s="3">
        <v>1</v>
      </c>
      <c r="M308" s="3">
        <v>2</v>
      </c>
      <c r="N308" s="3">
        <v>2</v>
      </c>
      <c r="O308" s="4">
        <f t="shared" si="8"/>
        <v>7</v>
      </c>
      <c r="P308" s="3"/>
      <c r="Q308" s="6" t="str">
        <f t="shared" si="9"/>
        <v>OK</v>
      </c>
      <c r="R308" s="6" t="s">
        <v>394</v>
      </c>
    </row>
    <row r="309" spans="1:18" ht="33.950000000000003" customHeight="1" x14ac:dyDescent="0.25">
      <c r="A309" s="10">
        <v>308</v>
      </c>
      <c r="B309" s="2" t="s">
        <v>392</v>
      </c>
      <c r="C309" s="2" t="s">
        <v>67</v>
      </c>
      <c r="D309" s="2" t="s">
        <v>383</v>
      </c>
      <c r="E309" s="2" t="s">
        <v>54</v>
      </c>
      <c r="F309" s="10">
        <v>8</v>
      </c>
      <c r="G309" s="2" t="s">
        <v>27</v>
      </c>
      <c r="H309" s="7" t="str">
        <f>HYPERLINK("mapany/outputs/custom_room_2_scen_4/reconstruction.glb","mapany/outputs/custom_room_2_scen_4/reconstruction.glb")</f>
        <v>mapany/outputs/custom_room_2_scen_4/reconstruction.glb</v>
      </c>
      <c r="I309" s="6" t="s">
        <v>393</v>
      </c>
      <c r="J309" s="3" t="s">
        <v>25</v>
      </c>
      <c r="K309" s="3">
        <v>3</v>
      </c>
      <c r="L309" s="3">
        <v>1</v>
      </c>
      <c r="M309" s="3">
        <v>2</v>
      </c>
      <c r="N309" s="3">
        <v>2</v>
      </c>
      <c r="O309" s="4">
        <f t="shared" si="8"/>
        <v>8</v>
      </c>
      <c r="P309" s="3"/>
      <c r="Q309" s="6" t="str">
        <f t="shared" si="9"/>
        <v>OK</v>
      </c>
      <c r="R309" s="6" t="s">
        <v>394</v>
      </c>
    </row>
    <row r="310" spans="1:18" ht="33.950000000000003" customHeight="1" x14ac:dyDescent="0.25">
      <c r="A310" s="10">
        <v>309</v>
      </c>
      <c r="B310" s="2" t="s">
        <v>395</v>
      </c>
      <c r="C310" s="2" t="s">
        <v>67</v>
      </c>
      <c r="D310" s="2" t="s">
        <v>396</v>
      </c>
      <c r="E310" s="2" t="s">
        <v>54</v>
      </c>
      <c r="F310" s="10">
        <v>1</v>
      </c>
      <c r="G310" s="2" t="s">
        <v>23</v>
      </c>
      <c r="H310" s="7" t="str">
        <f>HYPERLINK("vggt/outputs/custom_room_3_scen_1/reconstruction.glb","vggt/outputs/custom_room_3_scen_1/reconstruction.glb")</f>
        <v>vggt/outputs/custom_room_3_scen_1/reconstruction.glb</v>
      </c>
      <c r="I310" s="6" t="s">
        <v>397</v>
      </c>
      <c r="J310" s="3" t="s">
        <v>25</v>
      </c>
      <c r="K310" s="3">
        <v>0</v>
      </c>
      <c r="L310" s="3">
        <v>2</v>
      </c>
      <c r="M310" s="3">
        <v>2</v>
      </c>
      <c r="N310" s="3">
        <v>0</v>
      </c>
      <c r="O310" s="4">
        <f t="shared" si="8"/>
        <v>4</v>
      </c>
      <c r="P310" s="3"/>
      <c r="Q310" s="6" t="str">
        <f t="shared" si="9"/>
        <v>OK</v>
      </c>
      <c r="R310" s="6" t="s">
        <v>398</v>
      </c>
    </row>
    <row r="311" spans="1:18" ht="33.950000000000003" customHeight="1" x14ac:dyDescent="0.25">
      <c r="A311" s="10">
        <v>310</v>
      </c>
      <c r="B311" s="2" t="s">
        <v>395</v>
      </c>
      <c r="C311" s="2" t="s">
        <v>67</v>
      </c>
      <c r="D311" s="2" t="s">
        <v>396</v>
      </c>
      <c r="E311" s="2" t="s">
        <v>54</v>
      </c>
      <c r="F311" s="10">
        <v>1</v>
      </c>
      <c r="G311" s="2" t="s">
        <v>27</v>
      </c>
      <c r="H311" s="7" t="str">
        <f>HYPERLINK("mapany/outputs/custom_room_3_scen_1/reconstruction.glb","mapany/outputs/custom_room_3_scen_1/reconstruction.glb")</f>
        <v>mapany/outputs/custom_room_3_scen_1/reconstruction.glb</v>
      </c>
      <c r="I311" s="6" t="s">
        <v>397</v>
      </c>
      <c r="J311" s="3" t="s">
        <v>25</v>
      </c>
      <c r="K311" s="3">
        <v>3</v>
      </c>
      <c r="L311" s="3">
        <v>2</v>
      </c>
      <c r="M311" s="3">
        <v>3</v>
      </c>
      <c r="N311" s="3">
        <v>2</v>
      </c>
      <c r="O311" s="4">
        <f t="shared" si="8"/>
        <v>10</v>
      </c>
      <c r="P311" s="3"/>
      <c r="Q311" s="6" t="str">
        <f t="shared" si="9"/>
        <v>OK</v>
      </c>
      <c r="R311" s="6" t="s">
        <v>398</v>
      </c>
    </row>
    <row r="312" spans="1:18" ht="33.950000000000003" customHeight="1" x14ac:dyDescent="0.25">
      <c r="A312" s="10">
        <v>311</v>
      </c>
      <c r="B312" s="2" t="s">
        <v>399</v>
      </c>
      <c r="C312" s="2" t="s">
        <v>67</v>
      </c>
      <c r="D312" s="2" t="s">
        <v>396</v>
      </c>
      <c r="E312" s="2" t="s">
        <v>54</v>
      </c>
      <c r="F312" s="10">
        <v>2</v>
      </c>
      <c r="G312" s="2" t="s">
        <v>23</v>
      </c>
      <c r="H312" s="7" t="str">
        <f>HYPERLINK("vggt/outputs/custom_room_3_scen_2/reconstruction.glb","vggt/outputs/custom_room_3_scen_2/reconstruction.glb")</f>
        <v>vggt/outputs/custom_room_3_scen_2/reconstruction.glb</v>
      </c>
      <c r="I312" s="6" t="s">
        <v>400</v>
      </c>
      <c r="J312" s="3" t="s">
        <v>25</v>
      </c>
      <c r="K312" s="3">
        <v>1</v>
      </c>
      <c r="L312" s="3">
        <v>2</v>
      </c>
      <c r="M312" s="3">
        <v>2</v>
      </c>
      <c r="N312" s="3">
        <v>1</v>
      </c>
      <c r="O312" s="4">
        <f t="shared" si="8"/>
        <v>6</v>
      </c>
      <c r="P312" s="3"/>
      <c r="Q312" s="6" t="str">
        <f t="shared" si="9"/>
        <v>OK</v>
      </c>
      <c r="R312" s="6" t="s">
        <v>401</v>
      </c>
    </row>
    <row r="313" spans="1:18" ht="33.950000000000003" customHeight="1" x14ac:dyDescent="0.25">
      <c r="A313" s="10">
        <v>312</v>
      </c>
      <c r="B313" s="2" t="s">
        <v>399</v>
      </c>
      <c r="C313" s="2" t="s">
        <v>67</v>
      </c>
      <c r="D313" s="2" t="s">
        <v>396</v>
      </c>
      <c r="E313" s="2" t="s">
        <v>54</v>
      </c>
      <c r="F313" s="10">
        <v>2</v>
      </c>
      <c r="G313" s="2" t="s">
        <v>31</v>
      </c>
      <c r="H313" s="7" t="str">
        <f>HYPERLINK("mast3r/outputs/custom_room_3_scen_2/reconstruction.glb","mast3r/outputs/custom_room_3_scen_2/reconstruction.glb")</f>
        <v>mast3r/outputs/custom_room_3_scen_2/reconstruction.glb</v>
      </c>
      <c r="I313" s="6" t="s">
        <v>400</v>
      </c>
      <c r="J313" s="3" t="s">
        <v>25</v>
      </c>
      <c r="K313" s="3">
        <v>2</v>
      </c>
      <c r="L313" s="3">
        <v>1</v>
      </c>
      <c r="M313" s="3">
        <v>1</v>
      </c>
      <c r="N313" s="3">
        <v>2</v>
      </c>
      <c r="O313" s="4">
        <f t="shared" si="8"/>
        <v>6</v>
      </c>
      <c r="P313" s="3"/>
      <c r="Q313" s="6" t="str">
        <f t="shared" si="9"/>
        <v>OK</v>
      </c>
      <c r="R313" s="6" t="s">
        <v>401</v>
      </c>
    </row>
    <row r="314" spans="1:18" ht="33.950000000000003" customHeight="1" x14ac:dyDescent="0.25">
      <c r="A314" s="10">
        <v>313</v>
      </c>
      <c r="B314" s="2" t="s">
        <v>399</v>
      </c>
      <c r="C314" s="2" t="s">
        <v>67</v>
      </c>
      <c r="D314" s="2" t="s">
        <v>396</v>
      </c>
      <c r="E314" s="2" t="s">
        <v>54</v>
      </c>
      <c r="F314" s="10">
        <v>2</v>
      </c>
      <c r="G314" s="2" t="s">
        <v>27</v>
      </c>
      <c r="H314" s="7" t="str">
        <f>HYPERLINK("mapany/outputs/custom_room_3_scen_2/reconstruction.glb","mapany/outputs/custom_room_3_scen_2/reconstruction.glb")</f>
        <v>mapany/outputs/custom_room_3_scen_2/reconstruction.glb</v>
      </c>
      <c r="I314" s="6" t="s">
        <v>400</v>
      </c>
      <c r="J314" s="3" t="s">
        <v>25</v>
      </c>
      <c r="K314" s="3">
        <v>2</v>
      </c>
      <c r="L314" s="3">
        <v>2</v>
      </c>
      <c r="M314" s="3">
        <v>2</v>
      </c>
      <c r="N314" s="3">
        <v>2</v>
      </c>
      <c r="O314" s="4">
        <f t="shared" si="8"/>
        <v>8</v>
      </c>
      <c r="P314" s="3"/>
      <c r="Q314" s="6" t="str">
        <f t="shared" si="9"/>
        <v>OK</v>
      </c>
      <c r="R314" s="6" t="s">
        <v>401</v>
      </c>
    </row>
    <row r="315" spans="1:18" ht="33.950000000000003" customHeight="1" x14ac:dyDescent="0.25">
      <c r="A315" s="10">
        <v>314</v>
      </c>
      <c r="B315" s="2" t="s">
        <v>402</v>
      </c>
      <c r="C315" s="2" t="s">
        <v>67</v>
      </c>
      <c r="D315" s="2" t="s">
        <v>396</v>
      </c>
      <c r="E315" s="2" t="s">
        <v>54</v>
      </c>
      <c r="F315" s="10">
        <v>4</v>
      </c>
      <c r="G315" s="2" t="s">
        <v>23</v>
      </c>
      <c r="H315" s="7" t="str">
        <f>HYPERLINK("vggt/outputs/custom_room_3_scen_3/reconstruction.glb","vggt/outputs/custom_room_3_scen_3/reconstruction.glb")</f>
        <v>vggt/outputs/custom_room_3_scen_3/reconstruction.glb</v>
      </c>
      <c r="I315" s="6" t="s">
        <v>403</v>
      </c>
      <c r="J315" s="3" t="s">
        <v>25</v>
      </c>
      <c r="K315" s="3">
        <v>1</v>
      </c>
      <c r="L315" s="3">
        <v>2</v>
      </c>
      <c r="M315" s="3">
        <v>1</v>
      </c>
      <c r="N315" s="3">
        <v>1</v>
      </c>
      <c r="O315" s="4">
        <f t="shared" si="8"/>
        <v>5</v>
      </c>
      <c r="P315" s="3"/>
      <c r="Q315" s="6" t="str">
        <f t="shared" si="9"/>
        <v>OK</v>
      </c>
      <c r="R315" s="6" t="s">
        <v>404</v>
      </c>
    </row>
    <row r="316" spans="1:18" ht="33.950000000000003" customHeight="1" x14ac:dyDescent="0.25">
      <c r="A316" s="10">
        <v>315</v>
      </c>
      <c r="B316" s="2" t="s">
        <v>402</v>
      </c>
      <c r="C316" s="2" t="s">
        <v>67</v>
      </c>
      <c r="D316" s="2" t="s">
        <v>396</v>
      </c>
      <c r="E316" s="2" t="s">
        <v>54</v>
      </c>
      <c r="F316" s="10">
        <v>4</v>
      </c>
      <c r="G316" s="2" t="s">
        <v>31</v>
      </c>
      <c r="H316" s="7" t="str">
        <f>HYPERLINK("mast3r/outputs/custom_room_3_scen_3/reconstruction.glb","mast3r/outputs/custom_room_3_scen_3/reconstruction.glb")</f>
        <v>mast3r/outputs/custom_room_3_scen_3/reconstruction.glb</v>
      </c>
      <c r="I316" s="6" t="s">
        <v>403</v>
      </c>
      <c r="J316" s="3" t="s">
        <v>25</v>
      </c>
      <c r="K316" s="3">
        <v>1</v>
      </c>
      <c r="L316" s="3">
        <v>1</v>
      </c>
      <c r="M316" s="3">
        <v>1</v>
      </c>
      <c r="N316" s="3">
        <v>2</v>
      </c>
      <c r="O316" s="4">
        <f t="shared" si="8"/>
        <v>5</v>
      </c>
      <c r="P316" s="3"/>
      <c r="Q316" s="6" t="str">
        <f t="shared" si="9"/>
        <v>OK</v>
      </c>
      <c r="R316" s="6" t="s">
        <v>404</v>
      </c>
    </row>
    <row r="317" spans="1:18" ht="33.950000000000003" customHeight="1" x14ac:dyDescent="0.25">
      <c r="A317" s="10">
        <v>316</v>
      </c>
      <c r="B317" s="2" t="s">
        <v>402</v>
      </c>
      <c r="C317" s="2" t="s">
        <v>67</v>
      </c>
      <c r="D317" s="2" t="s">
        <v>396</v>
      </c>
      <c r="E317" s="2" t="s">
        <v>54</v>
      </c>
      <c r="F317" s="10">
        <v>4</v>
      </c>
      <c r="G317" s="2" t="s">
        <v>27</v>
      </c>
      <c r="H317" s="7" t="str">
        <f>HYPERLINK("mapany/outputs/custom_room_3_scen_3/reconstruction.glb","mapany/outputs/custom_room_3_scen_3/reconstruction.glb")</f>
        <v>mapany/outputs/custom_room_3_scen_3/reconstruction.glb</v>
      </c>
      <c r="I317" s="6" t="s">
        <v>403</v>
      </c>
      <c r="J317" s="3" t="s">
        <v>25</v>
      </c>
      <c r="K317" s="3">
        <v>2</v>
      </c>
      <c r="L317" s="3">
        <v>2</v>
      </c>
      <c r="M317" s="3">
        <v>2</v>
      </c>
      <c r="N317" s="3">
        <v>2</v>
      </c>
      <c r="O317" s="4">
        <f t="shared" si="8"/>
        <v>8</v>
      </c>
      <c r="P317" s="3"/>
      <c r="Q317" s="6" t="str">
        <f t="shared" si="9"/>
        <v>OK</v>
      </c>
      <c r="R317" s="6" t="s">
        <v>404</v>
      </c>
    </row>
    <row r="318" spans="1:18" ht="33.950000000000003" customHeight="1" x14ac:dyDescent="0.25">
      <c r="A318" s="10">
        <v>317</v>
      </c>
      <c r="B318" s="2" t="s">
        <v>405</v>
      </c>
      <c r="C318" s="2" t="s">
        <v>67</v>
      </c>
      <c r="D318" s="2" t="s">
        <v>396</v>
      </c>
      <c r="E318" s="2" t="s">
        <v>54</v>
      </c>
      <c r="F318" s="10">
        <v>8</v>
      </c>
      <c r="G318" s="2" t="s">
        <v>23</v>
      </c>
      <c r="H318" s="7" t="str">
        <f>HYPERLINK("vggt/outputs/custom_room_3_scen_4/reconstruction.glb","vggt/outputs/custom_room_3_scen_4/reconstruction.glb")</f>
        <v>vggt/outputs/custom_room_3_scen_4/reconstruction.glb</v>
      </c>
      <c r="I318" s="6" t="s">
        <v>406</v>
      </c>
      <c r="J318" s="3" t="s">
        <v>25</v>
      </c>
      <c r="K318" s="3">
        <v>1</v>
      </c>
      <c r="L318" s="3">
        <v>2</v>
      </c>
      <c r="M318" s="3">
        <v>1</v>
      </c>
      <c r="N318" s="3">
        <v>1</v>
      </c>
      <c r="O318" s="4">
        <f t="shared" si="8"/>
        <v>5</v>
      </c>
      <c r="P318" s="3"/>
      <c r="Q318" s="6" t="str">
        <f t="shared" si="9"/>
        <v>OK</v>
      </c>
      <c r="R318" s="6" t="s">
        <v>407</v>
      </c>
    </row>
    <row r="319" spans="1:18" ht="33.950000000000003" customHeight="1" x14ac:dyDescent="0.25">
      <c r="A319" s="10">
        <v>318</v>
      </c>
      <c r="B319" s="2" t="s">
        <v>405</v>
      </c>
      <c r="C319" s="2" t="s">
        <v>67</v>
      </c>
      <c r="D319" s="2" t="s">
        <v>396</v>
      </c>
      <c r="E319" s="2" t="s">
        <v>54</v>
      </c>
      <c r="F319" s="10">
        <v>8</v>
      </c>
      <c r="G319" s="2" t="s">
        <v>31</v>
      </c>
      <c r="H319" s="7" t="str">
        <f>HYPERLINK("mast3r/outputs/custom_room_3_scen_4/reconstruction.glb","mast3r/outputs/custom_room_3_scen_4/reconstruction.glb")</f>
        <v>mast3r/outputs/custom_room_3_scen_4/reconstruction.glb</v>
      </c>
      <c r="I319" s="6" t="s">
        <v>406</v>
      </c>
      <c r="J319" s="3" t="s">
        <v>25</v>
      </c>
      <c r="K319" s="3">
        <v>1</v>
      </c>
      <c r="L319" s="3">
        <v>1</v>
      </c>
      <c r="M319" s="3">
        <v>1</v>
      </c>
      <c r="N319" s="3">
        <v>2</v>
      </c>
      <c r="O319" s="4">
        <f t="shared" si="8"/>
        <v>5</v>
      </c>
      <c r="P319" s="3"/>
      <c r="Q319" s="6" t="str">
        <f t="shared" si="9"/>
        <v>OK</v>
      </c>
      <c r="R319" s="6" t="s">
        <v>407</v>
      </c>
    </row>
    <row r="320" spans="1:18" ht="33.950000000000003" customHeight="1" x14ac:dyDescent="0.25">
      <c r="A320" s="10">
        <v>319</v>
      </c>
      <c r="B320" s="2" t="s">
        <v>405</v>
      </c>
      <c r="C320" s="2" t="s">
        <v>67</v>
      </c>
      <c r="D320" s="2" t="s">
        <v>396</v>
      </c>
      <c r="E320" s="2" t="s">
        <v>54</v>
      </c>
      <c r="F320" s="10">
        <v>8</v>
      </c>
      <c r="G320" s="2" t="s">
        <v>27</v>
      </c>
      <c r="H320" s="7" t="str">
        <f>HYPERLINK("mapany/outputs/custom_room_3_scen_4/reconstruction.glb","mapany/outputs/custom_room_3_scen_4/reconstruction.glb")</f>
        <v>mapany/outputs/custom_room_3_scen_4/reconstruction.glb</v>
      </c>
      <c r="I320" s="6" t="s">
        <v>406</v>
      </c>
      <c r="J320" s="3" t="s">
        <v>25</v>
      </c>
      <c r="K320" s="3">
        <v>2</v>
      </c>
      <c r="L320" s="3">
        <v>2</v>
      </c>
      <c r="M320" s="3">
        <v>2</v>
      </c>
      <c r="N320" s="3">
        <v>2</v>
      </c>
      <c r="O320" s="4">
        <f t="shared" si="8"/>
        <v>8</v>
      </c>
      <c r="P320" s="3"/>
      <c r="Q320" s="6" t="str">
        <f t="shared" si="9"/>
        <v>OK</v>
      </c>
      <c r="R320" s="6" t="s">
        <v>407</v>
      </c>
    </row>
    <row r="321" spans="1:18" ht="33.950000000000003" customHeight="1" x14ac:dyDescent="0.25">
      <c r="A321" s="10">
        <v>320</v>
      </c>
      <c r="B321" s="2" t="s">
        <v>408</v>
      </c>
      <c r="C321" s="2" t="s">
        <v>67</v>
      </c>
      <c r="D321" s="2" t="s">
        <v>409</v>
      </c>
      <c r="E321" s="2" t="s">
        <v>54</v>
      </c>
      <c r="F321" s="10">
        <v>1</v>
      </c>
      <c r="G321" s="2" t="s">
        <v>23</v>
      </c>
      <c r="H321" s="7" t="str">
        <f>HYPERLINK("vggt/outputs/custom_room_4_scen_1/reconstruction.glb","vggt/outputs/custom_room_4_scen_1/reconstruction.glb")</f>
        <v>vggt/outputs/custom_room_4_scen_1/reconstruction.glb</v>
      </c>
      <c r="I321" s="6" t="s">
        <v>410</v>
      </c>
      <c r="J321" s="3" t="s">
        <v>25</v>
      </c>
      <c r="K321" s="3">
        <v>1</v>
      </c>
      <c r="L321" s="3">
        <v>2</v>
      </c>
      <c r="M321" s="3">
        <v>2</v>
      </c>
      <c r="N321" s="3">
        <v>1</v>
      </c>
      <c r="O321" s="4">
        <f t="shared" si="8"/>
        <v>6</v>
      </c>
      <c r="P321" s="3"/>
      <c r="Q321" s="6" t="str">
        <f t="shared" si="9"/>
        <v>OK</v>
      </c>
      <c r="R321" s="6" t="s">
        <v>411</v>
      </c>
    </row>
    <row r="322" spans="1:18" ht="33.950000000000003" customHeight="1" x14ac:dyDescent="0.25">
      <c r="A322" s="10">
        <v>321</v>
      </c>
      <c r="B322" s="2" t="s">
        <v>408</v>
      </c>
      <c r="C322" s="2" t="s">
        <v>67</v>
      </c>
      <c r="D322" s="2" t="s">
        <v>409</v>
      </c>
      <c r="E322" s="2" t="s">
        <v>54</v>
      </c>
      <c r="F322" s="10">
        <v>1</v>
      </c>
      <c r="G322" s="2" t="s">
        <v>27</v>
      </c>
      <c r="H322" s="7" t="str">
        <f>HYPERLINK("mapany/outputs/custom_room_4_scen_1/reconstruction.glb","mapany/outputs/custom_room_4_scen_1/reconstruction.glb")</f>
        <v>mapany/outputs/custom_room_4_scen_1/reconstruction.glb</v>
      </c>
      <c r="I322" s="6" t="s">
        <v>410</v>
      </c>
      <c r="J322" s="3" t="s">
        <v>25</v>
      </c>
      <c r="K322" s="3">
        <v>3</v>
      </c>
      <c r="L322" s="3">
        <v>2</v>
      </c>
      <c r="M322" s="3">
        <v>3</v>
      </c>
      <c r="N322" s="3">
        <v>2</v>
      </c>
      <c r="O322" s="4">
        <f t="shared" ref="O322:O385" si="10">IF($J322="Niepowodzenie rekonstrukcji",0,IF(COUNT($K322:$N322)=4,SUM($K322:$N322),""))</f>
        <v>10</v>
      </c>
      <c r="P322" s="3"/>
      <c r="Q322" s="6" t="str">
        <f t="shared" ref="Q322:Q385" si="11">IF($J322="Niepowodzenie rekonstrukcji",IF(COUNTIF($K322:$N322,0)=4,"OK","Ustaw C, G, A, D = 0"),IF(COUNT($K322:$N322)=0,"Nieoceniony",IF(COUNT($K322:$N322)=4,"OK","Uzupełnij oceny")))</f>
        <v>OK</v>
      </c>
      <c r="R322" s="6" t="s">
        <v>411</v>
      </c>
    </row>
    <row r="323" spans="1:18" ht="33.950000000000003" customHeight="1" x14ac:dyDescent="0.25">
      <c r="A323" s="10">
        <v>322</v>
      </c>
      <c r="B323" s="2" t="s">
        <v>412</v>
      </c>
      <c r="C323" s="2" t="s">
        <v>67</v>
      </c>
      <c r="D323" s="2" t="s">
        <v>409</v>
      </c>
      <c r="E323" s="2" t="s">
        <v>54</v>
      </c>
      <c r="F323" s="10">
        <v>2</v>
      </c>
      <c r="G323" s="2" t="s">
        <v>23</v>
      </c>
      <c r="H323" s="7" t="str">
        <f>HYPERLINK("vggt/outputs/custom_room_4_scen_2/reconstruction.glb","vggt/outputs/custom_room_4_scen_2/reconstruction.glb")</f>
        <v>vggt/outputs/custom_room_4_scen_2/reconstruction.glb</v>
      </c>
      <c r="I323" s="6" t="s">
        <v>413</v>
      </c>
      <c r="J323" s="3" t="s">
        <v>25</v>
      </c>
      <c r="K323" s="3">
        <v>1</v>
      </c>
      <c r="L323" s="3">
        <v>2</v>
      </c>
      <c r="M323" s="3">
        <v>2</v>
      </c>
      <c r="N323" s="3">
        <v>1</v>
      </c>
      <c r="O323" s="4">
        <f t="shared" si="10"/>
        <v>6</v>
      </c>
      <c r="P323" s="3"/>
      <c r="Q323" s="6" t="str">
        <f t="shared" si="11"/>
        <v>OK</v>
      </c>
      <c r="R323" s="6" t="s">
        <v>414</v>
      </c>
    </row>
    <row r="324" spans="1:18" ht="33.950000000000003" customHeight="1" x14ac:dyDescent="0.25">
      <c r="A324" s="10">
        <v>323</v>
      </c>
      <c r="B324" s="2" t="s">
        <v>412</v>
      </c>
      <c r="C324" s="2" t="s">
        <v>67</v>
      </c>
      <c r="D324" s="2" t="s">
        <v>409</v>
      </c>
      <c r="E324" s="2" t="s">
        <v>54</v>
      </c>
      <c r="F324" s="10">
        <v>2</v>
      </c>
      <c r="G324" s="2" t="s">
        <v>31</v>
      </c>
      <c r="H324" s="7" t="str">
        <f>HYPERLINK("mast3r/outputs/custom_room_4_scen_2/reconstruction.glb","mast3r/outputs/custom_room_4_scen_2/reconstruction.glb")</f>
        <v>mast3r/outputs/custom_room_4_scen_2/reconstruction.glb</v>
      </c>
      <c r="I324" s="6" t="s">
        <v>413</v>
      </c>
      <c r="J324" s="3" t="s">
        <v>25</v>
      </c>
      <c r="K324" s="3">
        <v>2</v>
      </c>
      <c r="L324" s="3">
        <v>2</v>
      </c>
      <c r="M324" s="3">
        <v>2</v>
      </c>
      <c r="N324" s="3">
        <v>2</v>
      </c>
      <c r="O324" s="4">
        <f t="shared" si="10"/>
        <v>8</v>
      </c>
      <c r="P324" s="3"/>
      <c r="Q324" s="6" t="str">
        <f t="shared" si="11"/>
        <v>OK</v>
      </c>
      <c r="R324" s="6" t="s">
        <v>414</v>
      </c>
    </row>
    <row r="325" spans="1:18" ht="33.950000000000003" customHeight="1" x14ac:dyDescent="0.25">
      <c r="A325" s="10">
        <v>324</v>
      </c>
      <c r="B325" s="2" t="s">
        <v>412</v>
      </c>
      <c r="C325" s="2" t="s">
        <v>67</v>
      </c>
      <c r="D325" s="2" t="s">
        <v>409</v>
      </c>
      <c r="E325" s="2" t="s">
        <v>54</v>
      </c>
      <c r="F325" s="10">
        <v>2</v>
      </c>
      <c r="G325" s="2" t="s">
        <v>27</v>
      </c>
      <c r="H325" s="7" t="str">
        <f>HYPERLINK("mapany/outputs/custom_room_4_scen_2/reconstruction.glb","mapany/outputs/custom_room_4_scen_2/reconstruction.glb")</f>
        <v>mapany/outputs/custom_room_4_scen_2/reconstruction.glb</v>
      </c>
      <c r="I325" s="6" t="s">
        <v>413</v>
      </c>
      <c r="J325" s="3" t="s">
        <v>25</v>
      </c>
      <c r="K325" s="3">
        <v>3</v>
      </c>
      <c r="L325" s="3">
        <v>2</v>
      </c>
      <c r="M325" s="3">
        <v>3</v>
      </c>
      <c r="N325" s="3">
        <v>2</v>
      </c>
      <c r="O325" s="4">
        <f t="shared" si="10"/>
        <v>10</v>
      </c>
      <c r="P325" s="3"/>
      <c r="Q325" s="6" t="str">
        <f t="shared" si="11"/>
        <v>OK</v>
      </c>
      <c r="R325" s="6" t="s">
        <v>414</v>
      </c>
    </row>
    <row r="326" spans="1:18" ht="33.950000000000003" customHeight="1" x14ac:dyDescent="0.25">
      <c r="A326" s="10">
        <v>325</v>
      </c>
      <c r="B326" s="2" t="s">
        <v>415</v>
      </c>
      <c r="C326" s="2" t="s">
        <v>67</v>
      </c>
      <c r="D326" s="2" t="s">
        <v>409</v>
      </c>
      <c r="E326" s="2" t="s">
        <v>54</v>
      </c>
      <c r="F326" s="10">
        <v>4</v>
      </c>
      <c r="G326" s="2" t="s">
        <v>23</v>
      </c>
      <c r="H326" s="7" t="str">
        <f>HYPERLINK("vggt/outputs/custom_room_4_scen_3/reconstruction.glb","vggt/outputs/custom_room_4_scen_3/reconstruction.glb")</f>
        <v>vggt/outputs/custom_room_4_scen_3/reconstruction.glb</v>
      </c>
      <c r="I326" s="6" t="s">
        <v>416</v>
      </c>
      <c r="J326" s="3" t="s">
        <v>25</v>
      </c>
      <c r="K326" s="3">
        <v>1</v>
      </c>
      <c r="L326" s="3">
        <v>2</v>
      </c>
      <c r="M326" s="3">
        <v>1</v>
      </c>
      <c r="N326" s="3">
        <v>1</v>
      </c>
      <c r="O326" s="4">
        <f t="shared" si="10"/>
        <v>5</v>
      </c>
      <c r="P326" s="3"/>
      <c r="Q326" s="6" t="str">
        <f t="shared" si="11"/>
        <v>OK</v>
      </c>
      <c r="R326" s="6" t="s">
        <v>417</v>
      </c>
    </row>
    <row r="327" spans="1:18" ht="33.950000000000003" customHeight="1" x14ac:dyDescent="0.25">
      <c r="A327" s="10">
        <v>326</v>
      </c>
      <c r="B327" s="2" t="s">
        <v>415</v>
      </c>
      <c r="C327" s="2" t="s">
        <v>67</v>
      </c>
      <c r="D327" s="2" t="s">
        <v>409</v>
      </c>
      <c r="E327" s="2" t="s">
        <v>54</v>
      </c>
      <c r="F327" s="10">
        <v>4</v>
      </c>
      <c r="G327" s="2" t="s">
        <v>31</v>
      </c>
      <c r="H327" s="7" t="str">
        <f>HYPERLINK("mast3r/outputs/custom_room_4_scen_3/reconstruction.glb","mast3r/outputs/custom_room_4_scen_3/reconstruction.glb")</f>
        <v>mast3r/outputs/custom_room_4_scen_3/reconstruction.glb</v>
      </c>
      <c r="I327" s="6" t="s">
        <v>416</v>
      </c>
      <c r="J327" s="3" t="s">
        <v>25</v>
      </c>
      <c r="K327" s="3">
        <v>2</v>
      </c>
      <c r="L327" s="3">
        <v>2</v>
      </c>
      <c r="M327" s="3">
        <v>2</v>
      </c>
      <c r="N327" s="3">
        <v>2</v>
      </c>
      <c r="O327" s="4">
        <f t="shared" si="10"/>
        <v>8</v>
      </c>
      <c r="P327" s="3"/>
      <c r="Q327" s="6" t="str">
        <f t="shared" si="11"/>
        <v>OK</v>
      </c>
      <c r="R327" s="6" t="s">
        <v>417</v>
      </c>
    </row>
    <row r="328" spans="1:18" ht="33.950000000000003" customHeight="1" x14ac:dyDescent="0.25">
      <c r="A328" s="10">
        <v>327</v>
      </c>
      <c r="B328" s="2" t="s">
        <v>415</v>
      </c>
      <c r="C328" s="2" t="s">
        <v>67</v>
      </c>
      <c r="D328" s="2" t="s">
        <v>409</v>
      </c>
      <c r="E328" s="2" t="s">
        <v>54</v>
      </c>
      <c r="F328" s="10">
        <v>4</v>
      </c>
      <c r="G328" s="2" t="s">
        <v>27</v>
      </c>
      <c r="H328" s="7" t="str">
        <f>HYPERLINK("mapany/outputs/custom_room_4_scen_3/reconstruction.glb","mapany/outputs/custom_room_4_scen_3/reconstruction.glb")</f>
        <v>mapany/outputs/custom_room_4_scen_3/reconstruction.glb</v>
      </c>
      <c r="I328" s="6" t="s">
        <v>416</v>
      </c>
      <c r="J328" s="3" t="s">
        <v>25</v>
      </c>
      <c r="K328" s="3">
        <v>3</v>
      </c>
      <c r="L328" s="3">
        <v>2</v>
      </c>
      <c r="M328" s="3">
        <v>2</v>
      </c>
      <c r="N328" s="3">
        <v>2</v>
      </c>
      <c r="O328" s="4">
        <f t="shared" si="10"/>
        <v>9</v>
      </c>
      <c r="P328" s="3"/>
      <c r="Q328" s="6" t="str">
        <f t="shared" si="11"/>
        <v>OK</v>
      </c>
      <c r="R328" s="6" t="s">
        <v>417</v>
      </c>
    </row>
    <row r="329" spans="1:18" ht="33.950000000000003" customHeight="1" x14ac:dyDescent="0.25">
      <c r="A329" s="10">
        <v>328</v>
      </c>
      <c r="B329" s="2" t="s">
        <v>418</v>
      </c>
      <c r="C329" s="2" t="s">
        <v>67</v>
      </c>
      <c r="D329" s="2" t="s">
        <v>409</v>
      </c>
      <c r="E329" s="2" t="s">
        <v>54</v>
      </c>
      <c r="F329" s="10">
        <v>8</v>
      </c>
      <c r="G329" s="2" t="s">
        <v>23</v>
      </c>
      <c r="H329" s="7" t="str">
        <f>HYPERLINK("vggt/outputs/custom_room_4_scen_4/reconstruction.glb","vggt/outputs/custom_room_4_scen_4/reconstruction.glb")</f>
        <v>vggt/outputs/custom_room_4_scen_4/reconstruction.glb</v>
      </c>
      <c r="I329" s="6" t="s">
        <v>419</v>
      </c>
      <c r="J329" s="3" t="s">
        <v>25</v>
      </c>
      <c r="K329" s="3">
        <v>1</v>
      </c>
      <c r="L329" s="3">
        <v>2</v>
      </c>
      <c r="M329" s="3">
        <v>1</v>
      </c>
      <c r="N329" s="3">
        <v>1</v>
      </c>
      <c r="O329" s="4">
        <f t="shared" si="10"/>
        <v>5</v>
      </c>
      <c r="P329" s="3"/>
      <c r="Q329" s="6" t="str">
        <f t="shared" si="11"/>
        <v>OK</v>
      </c>
      <c r="R329" s="6" t="s">
        <v>420</v>
      </c>
    </row>
    <row r="330" spans="1:18" ht="33.950000000000003" customHeight="1" x14ac:dyDescent="0.25">
      <c r="A330" s="10">
        <v>329</v>
      </c>
      <c r="B330" s="2" t="s">
        <v>418</v>
      </c>
      <c r="C330" s="2" t="s">
        <v>67</v>
      </c>
      <c r="D330" s="2" t="s">
        <v>409</v>
      </c>
      <c r="E330" s="2" t="s">
        <v>54</v>
      </c>
      <c r="F330" s="10">
        <v>8</v>
      </c>
      <c r="G330" s="2" t="s">
        <v>31</v>
      </c>
      <c r="H330" s="7" t="str">
        <f>HYPERLINK("mast3r/outputs/custom_room_4_scen_4/reconstruction.glb","mast3r/outputs/custom_room_4_scen_4/reconstruction.glb")</f>
        <v>mast3r/outputs/custom_room_4_scen_4/reconstruction.glb</v>
      </c>
      <c r="I330" s="6" t="s">
        <v>419</v>
      </c>
      <c r="J330" s="3" t="s">
        <v>25</v>
      </c>
      <c r="K330" s="3">
        <v>2</v>
      </c>
      <c r="L330" s="3">
        <v>2</v>
      </c>
      <c r="M330" s="3">
        <v>2</v>
      </c>
      <c r="N330" s="3">
        <v>2</v>
      </c>
      <c r="O330" s="4">
        <f t="shared" si="10"/>
        <v>8</v>
      </c>
      <c r="P330" s="3"/>
      <c r="Q330" s="6" t="str">
        <f t="shared" si="11"/>
        <v>OK</v>
      </c>
      <c r="R330" s="6" t="s">
        <v>420</v>
      </c>
    </row>
    <row r="331" spans="1:18" ht="33.950000000000003" customHeight="1" x14ac:dyDescent="0.25">
      <c r="A331" s="10">
        <v>330</v>
      </c>
      <c r="B331" s="2" t="s">
        <v>418</v>
      </c>
      <c r="C331" s="2" t="s">
        <v>67</v>
      </c>
      <c r="D331" s="2" t="s">
        <v>409</v>
      </c>
      <c r="E331" s="2" t="s">
        <v>54</v>
      </c>
      <c r="F331" s="10">
        <v>8</v>
      </c>
      <c r="G331" s="2" t="s">
        <v>27</v>
      </c>
      <c r="H331" s="7" t="str">
        <f>HYPERLINK("mapany/outputs/custom_room_4_scen_4/reconstruction.glb","mapany/outputs/custom_room_4_scen_4/reconstruction.glb")</f>
        <v>mapany/outputs/custom_room_4_scen_4/reconstruction.glb</v>
      </c>
      <c r="I331" s="6" t="s">
        <v>419</v>
      </c>
      <c r="J331" s="3" t="s">
        <v>25</v>
      </c>
      <c r="K331" s="3">
        <v>3</v>
      </c>
      <c r="L331" s="3">
        <v>2</v>
      </c>
      <c r="M331" s="3">
        <v>2</v>
      </c>
      <c r="N331" s="3">
        <v>2</v>
      </c>
      <c r="O331" s="4">
        <f t="shared" si="10"/>
        <v>9</v>
      </c>
      <c r="P331" s="3"/>
      <c r="Q331" s="6" t="str">
        <f t="shared" si="11"/>
        <v>OK</v>
      </c>
      <c r="R331" s="6" t="s">
        <v>420</v>
      </c>
    </row>
    <row r="332" spans="1:18" ht="33.950000000000003" customHeight="1" x14ac:dyDescent="0.25">
      <c r="A332" s="10">
        <v>331</v>
      </c>
      <c r="B332" s="2" t="s">
        <v>421</v>
      </c>
      <c r="C332" s="2" t="s">
        <v>67</v>
      </c>
      <c r="D332" s="2" t="s">
        <v>422</v>
      </c>
      <c r="E332" s="2" t="s">
        <v>54</v>
      </c>
      <c r="F332" s="10">
        <v>1</v>
      </c>
      <c r="G332" s="2" t="s">
        <v>23</v>
      </c>
      <c r="H332" s="7" t="str">
        <f>HYPERLINK("vggt/outputs/custom_room_5_scen_1/reconstruction.glb","vggt/outputs/custom_room_5_scen_1/reconstruction.glb")</f>
        <v>vggt/outputs/custom_room_5_scen_1/reconstruction.glb</v>
      </c>
      <c r="I332" s="6" t="s">
        <v>423</v>
      </c>
      <c r="J332" s="3" t="s">
        <v>25</v>
      </c>
      <c r="K332" s="3">
        <v>0</v>
      </c>
      <c r="L332" s="3">
        <v>1</v>
      </c>
      <c r="M332" s="3">
        <v>2</v>
      </c>
      <c r="N332" s="3">
        <v>0</v>
      </c>
      <c r="O332" s="4">
        <f t="shared" si="10"/>
        <v>3</v>
      </c>
      <c r="P332" s="3"/>
      <c r="Q332" s="6" t="str">
        <f t="shared" si="11"/>
        <v>OK</v>
      </c>
      <c r="R332" s="6" t="s">
        <v>424</v>
      </c>
    </row>
    <row r="333" spans="1:18" ht="33.950000000000003" customHeight="1" x14ac:dyDescent="0.25">
      <c r="A333" s="10">
        <v>332</v>
      </c>
      <c r="B333" s="2" t="s">
        <v>421</v>
      </c>
      <c r="C333" s="2" t="s">
        <v>67</v>
      </c>
      <c r="D333" s="2" t="s">
        <v>422</v>
      </c>
      <c r="E333" s="2" t="s">
        <v>54</v>
      </c>
      <c r="F333" s="10">
        <v>1</v>
      </c>
      <c r="G333" s="2" t="s">
        <v>27</v>
      </c>
      <c r="H333" s="7" t="str">
        <f>HYPERLINK("mapany/outputs/custom_room_5_scen_1/reconstruction.glb","mapany/outputs/custom_room_5_scen_1/reconstruction.glb")</f>
        <v>mapany/outputs/custom_room_5_scen_1/reconstruction.glb</v>
      </c>
      <c r="I333" s="6" t="s">
        <v>423</v>
      </c>
      <c r="J333" s="3" t="s">
        <v>25</v>
      </c>
      <c r="K333" s="3">
        <v>2</v>
      </c>
      <c r="L333" s="3">
        <v>2</v>
      </c>
      <c r="M333" s="3">
        <v>2</v>
      </c>
      <c r="N333" s="3">
        <v>1</v>
      </c>
      <c r="O333" s="4">
        <f t="shared" si="10"/>
        <v>7</v>
      </c>
      <c r="P333" s="3"/>
      <c r="Q333" s="6" t="str">
        <f t="shared" si="11"/>
        <v>OK</v>
      </c>
      <c r="R333" s="6" t="s">
        <v>424</v>
      </c>
    </row>
    <row r="334" spans="1:18" ht="33.950000000000003" customHeight="1" x14ac:dyDescent="0.25">
      <c r="A334" s="10">
        <v>333</v>
      </c>
      <c r="B334" s="2" t="s">
        <v>425</v>
      </c>
      <c r="C334" s="2" t="s">
        <v>67</v>
      </c>
      <c r="D334" s="2" t="s">
        <v>422</v>
      </c>
      <c r="E334" s="2" t="s">
        <v>54</v>
      </c>
      <c r="F334" s="10">
        <v>2</v>
      </c>
      <c r="G334" s="2" t="s">
        <v>23</v>
      </c>
      <c r="H334" s="7" t="str">
        <f>HYPERLINK("vggt/outputs/custom_room_5_scen_2/reconstruction.glb","vggt/outputs/custom_room_5_scen_2/reconstruction.glb")</f>
        <v>vggt/outputs/custom_room_5_scen_2/reconstruction.glb</v>
      </c>
      <c r="I334" s="6" t="s">
        <v>426</v>
      </c>
      <c r="J334" s="3" t="s">
        <v>25</v>
      </c>
      <c r="K334" s="3">
        <v>0</v>
      </c>
      <c r="L334" s="3">
        <v>1</v>
      </c>
      <c r="M334" s="3">
        <v>2</v>
      </c>
      <c r="N334" s="3">
        <v>0</v>
      </c>
      <c r="O334" s="4">
        <f t="shared" si="10"/>
        <v>3</v>
      </c>
      <c r="P334" s="3"/>
      <c r="Q334" s="6" t="str">
        <f t="shared" si="11"/>
        <v>OK</v>
      </c>
      <c r="R334" s="6" t="s">
        <v>427</v>
      </c>
    </row>
    <row r="335" spans="1:18" ht="33.950000000000003" customHeight="1" x14ac:dyDescent="0.25">
      <c r="A335" s="10">
        <v>334</v>
      </c>
      <c r="B335" s="2" t="s">
        <v>425</v>
      </c>
      <c r="C335" s="2" t="s">
        <v>67</v>
      </c>
      <c r="D335" s="2" t="s">
        <v>422</v>
      </c>
      <c r="E335" s="2" t="s">
        <v>54</v>
      </c>
      <c r="F335" s="10">
        <v>2</v>
      </c>
      <c r="G335" s="2" t="s">
        <v>31</v>
      </c>
      <c r="H335" s="7" t="str">
        <f>HYPERLINK("mast3r/outputs/custom_room_5_scen_2/reconstruction.glb","mast3r/outputs/custom_room_5_scen_2/reconstruction.glb")</f>
        <v>mast3r/outputs/custom_room_5_scen_2/reconstruction.glb</v>
      </c>
      <c r="I335" s="6" t="s">
        <v>426</v>
      </c>
      <c r="J335" s="3" t="s">
        <v>25</v>
      </c>
      <c r="K335" s="3">
        <v>2</v>
      </c>
      <c r="L335" s="3">
        <v>1</v>
      </c>
      <c r="M335" s="3">
        <v>2</v>
      </c>
      <c r="N335" s="3">
        <v>2</v>
      </c>
      <c r="O335" s="4">
        <f t="shared" si="10"/>
        <v>7</v>
      </c>
      <c r="P335" s="3"/>
      <c r="Q335" s="6" t="str">
        <f t="shared" si="11"/>
        <v>OK</v>
      </c>
      <c r="R335" s="6" t="s">
        <v>427</v>
      </c>
    </row>
    <row r="336" spans="1:18" ht="33.950000000000003" customHeight="1" x14ac:dyDescent="0.25">
      <c r="A336" s="10">
        <v>335</v>
      </c>
      <c r="B336" s="2" t="s">
        <v>425</v>
      </c>
      <c r="C336" s="2" t="s">
        <v>67</v>
      </c>
      <c r="D336" s="2" t="s">
        <v>422</v>
      </c>
      <c r="E336" s="2" t="s">
        <v>54</v>
      </c>
      <c r="F336" s="10">
        <v>2</v>
      </c>
      <c r="G336" s="2" t="s">
        <v>27</v>
      </c>
      <c r="H336" s="7" t="str">
        <f>HYPERLINK("mapany/outputs/custom_room_5_scen_2/reconstruction.glb","mapany/outputs/custom_room_5_scen_2/reconstruction.glb")</f>
        <v>mapany/outputs/custom_room_5_scen_2/reconstruction.glb</v>
      </c>
      <c r="I336" s="6" t="s">
        <v>426</v>
      </c>
      <c r="J336" s="3" t="s">
        <v>25</v>
      </c>
      <c r="K336" s="3">
        <v>3</v>
      </c>
      <c r="L336" s="3">
        <v>2</v>
      </c>
      <c r="M336" s="3">
        <v>2</v>
      </c>
      <c r="N336" s="3">
        <v>1</v>
      </c>
      <c r="O336" s="4">
        <f t="shared" si="10"/>
        <v>8</v>
      </c>
      <c r="P336" s="3"/>
      <c r="Q336" s="6" t="str">
        <f t="shared" si="11"/>
        <v>OK</v>
      </c>
      <c r="R336" s="6" t="s">
        <v>427</v>
      </c>
    </row>
    <row r="337" spans="1:18" ht="33.950000000000003" customHeight="1" x14ac:dyDescent="0.25">
      <c r="A337" s="10">
        <v>336</v>
      </c>
      <c r="B337" s="2" t="s">
        <v>428</v>
      </c>
      <c r="C337" s="2" t="s">
        <v>67</v>
      </c>
      <c r="D337" s="2" t="s">
        <v>422</v>
      </c>
      <c r="E337" s="2" t="s">
        <v>54</v>
      </c>
      <c r="F337" s="10">
        <v>4</v>
      </c>
      <c r="G337" s="2" t="s">
        <v>23</v>
      </c>
      <c r="H337" s="7" t="str">
        <f>HYPERLINK("vggt/outputs/custom_room_5_scen_3/reconstruction.glb","vggt/outputs/custom_room_5_scen_3/reconstruction.glb")</f>
        <v>vggt/outputs/custom_room_5_scen_3/reconstruction.glb</v>
      </c>
      <c r="I337" s="6" t="s">
        <v>429</v>
      </c>
      <c r="J337" s="3" t="s">
        <v>25</v>
      </c>
      <c r="K337" s="3">
        <v>1</v>
      </c>
      <c r="L337" s="3">
        <v>1</v>
      </c>
      <c r="M337" s="3">
        <v>2</v>
      </c>
      <c r="N337" s="3">
        <v>1</v>
      </c>
      <c r="O337" s="4">
        <f t="shared" si="10"/>
        <v>5</v>
      </c>
      <c r="P337" s="3"/>
      <c r="Q337" s="6" t="str">
        <f t="shared" si="11"/>
        <v>OK</v>
      </c>
      <c r="R337" s="6" t="s">
        <v>430</v>
      </c>
    </row>
    <row r="338" spans="1:18" ht="33.950000000000003" customHeight="1" x14ac:dyDescent="0.25">
      <c r="A338" s="10">
        <v>337</v>
      </c>
      <c r="B338" s="2" t="s">
        <v>428</v>
      </c>
      <c r="C338" s="2" t="s">
        <v>67</v>
      </c>
      <c r="D338" s="2" t="s">
        <v>422</v>
      </c>
      <c r="E338" s="2" t="s">
        <v>54</v>
      </c>
      <c r="F338" s="10">
        <v>4</v>
      </c>
      <c r="G338" s="2" t="s">
        <v>31</v>
      </c>
      <c r="H338" s="7" t="str">
        <f>HYPERLINK("mast3r/outputs/custom_room_5_scen_3/reconstruction.glb","mast3r/outputs/custom_room_5_scen_3/reconstruction.glb")</f>
        <v>mast3r/outputs/custom_room_5_scen_3/reconstruction.glb</v>
      </c>
      <c r="I338" s="6" t="s">
        <v>429</v>
      </c>
      <c r="J338" s="3" t="s">
        <v>25</v>
      </c>
      <c r="K338" s="3">
        <v>2</v>
      </c>
      <c r="L338" s="3">
        <v>1</v>
      </c>
      <c r="M338" s="3">
        <v>1</v>
      </c>
      <c r="N338" s="3">
        <v>2</v>
      </c>
      <c r="O338" s="4">
        <f t="shared" si="10"/>
        <v>6</v>
      </c>
      <c r="P338" s="3"/>
      <c r="Q338" s="6" t="str">
        <f t="shared" si="11"/>
        <v>OK</v>
      </c>
      <c r="R338" s="6" t="s">
        <v>430</v>
      </c>
    </row>
    <row r="339" spans="1:18" ht="33.950000000000003" customHeight="1" x14ac:dyDescent="0.25">
      <c r="A339" s="10">
        <v>338</v>
      </c>
      <c r="B339" s="2" t="s">
        <v>428</v>
      </c>
      <c r="C339" s="2" t="s">
        <v>67</v>
      </c>
      <c r="D339" s="2" t="s">
        <v>422</v>
      </c>
      <c r="E339" s="2" t="s">
        <v>54</v>
      </c>
      <c r="F339" s="10">
        <v>4</v>
      </c>
      <c r="G339" s="2" t="s">
        <v>27</v>
      </c>
      <c r="H339" s="7" t="str">
        <f>HYPERLINK("mapany/outputs/custom_room_5_scen_3/reconstruction.glb","mapany/outputs/custom_room_5_scen_3/reconstruction.glb")</f>
        <v>mapany/outputs/custom_room_5_scen_3/reconstruction.glb</v>
      </c>
      <c r="I339" s="6" t="s">
        <v>429</v>
      </c>
      <c r="J339" s="3" t="s">
        <v>25</v>
      </c>
      <c r="K339" s="3">
        <v>2</v>
      </c>
      <c r="L339" s="3">
        <v>2</v>
      </c>
      <c r="M339" s="3">
        <v>2</v>
      </c>
      <c r="N339" s="3">
        <v>2</v>
      </c>
      <c r="O339" s="4">
        <f t="shared" si="10"/>
        <v>8</v>
      </c>
      <c r="P339" s="3"/>
      <c r="Q339" s="6" t="str">
        <f t="shared" si="11"/>
        <v>OK</v>
      </c>
      <c r="R339" s="6" t="s">
        <v>430</v>
      </c>
    </row>
    <row r="340" spans="1:18" ht="33.950000000000003" customHeight="1" x14ac:dyDescent="0.25">
      <c r="A340" s="10">
        <v>339</v>
      </c>
      <c r="B340" s="2" t="s">
        <v>431</v>
      </c>
      <c r="C340" s="2" t="s">
        <v>67</v>
      </c>
      <c r="D340" s="2" t="s">
        <v>422</v>
      </c>
      <c r="E340" s="2" t="s">
        <v>54</v>
      </c>
      <c r="F340" s="10">
        <v>8</v>
      </c>
      <c r="G340" s="2" t="s">
        <v>23</v>
      </c>
      <c r="H340" s="7" t="str">
        <f>HYPERLINK("vggt/outputs/custom_room_5_scen_4/reconstruction.glb","vggt/outputs/custom_room_5_scen_4/reconstruction.glb")</f>
        <v>vggt/outputs/custom_room_5_scen_4/reconstruction.glb</v>
      </c>
      <c r="I340" s="6" t="s">
        <v>432</v>
      </c>
      <c r="J340" s="3" t="s">
        <v>25</v>
      </c>
      <c r="K340" s="3">
        <v>1</v>
      </c>
      <c r="L340" s="3">
        <v>1</v>
      </c>
      <c r="M340" s="3">
        <v>2</v>
      </c>
      <c r="N340" s="3">
        <v>1</v>
      </c>
      <c r="O340" s="4">
        <f t="shared" si="10"/>
        <v>5</v>
      </c>
      <c r="P340" s="3"/>
      <c r="Q340" s="6" t="str">
        <f t="shared" si="11"/>
        <v>OK</v>
      </c>
      <c r="R340" s="6" t="s">
        <v>433</v>
      </c>
    </row>
    <row r="341" spans="1:18" ht="33.950000000000003" customHeight="1" x14ac:dyDescent="0.25">
      <c r="A341" s="10">
        <v>340</v>
      </c>
      <c r="B341" s="2" t="s">
        <v>431</v>
      </c>
      <c r="C341" s="2" t="s">
        <v>67</v>
      </c>
      <c r="D341" s="2" t="s">
        <v>422</v>
      </c>
      <c r="E341" s="2" t="s">
        <v>54</v>
      </c>
      <c r="F341" s="10">
        <v>8</v>
      </c>
      <c r="G341" s="2" t="s">
        <v>31</v>
      </c>
      <c r="H341" s="7" t="str">
        <f>HYPERLINK("mast3r/outputs/custom_room_5_scen_4/reconstruction.glb","mast3r/outputs/custom_room_5_scen_4/reconstruction.glb")</f>
        <v>mast3r/outputs/custom_room_5_scen_4/reconstruction.glb</v>
      </c>
      <c r="I341" s="6" t="s">
        <v>432</v>
      </c>
      <c r="J341" s="3" t="s">
        <v>25</v>
      </c>
      <c r="K341" s="3">
        <v>2</v>
      </c>
      <c r="L341" s="3">
        <v>1</v>
      </c>
      <c r="M341" s="3">
        <v>1</v>
      </c>
      <c r="N341" s="3">
        <v>2</v>
      </c>
      <c r="O341" s="4">
        <f t="shared" si="10"/>
        <v>6</v>
      </c>
      <c r="P341" s="3"/>
      <c r="Q341" s="6" t="str">
        <f t="shared" si="11"/>
        <v>OK</v>
      </c>
      <c r="R341" s="6" t="s">
        <v>433</v>
      </c>
    </row>
    <row r="342" spans="1:18" ht="33.950000000000003" customHeight="1" x14ac:dyDescent="0.25">
      <c r="A342" s="10">
        <v>341</v>
      </c>
      <c r="B342" s="2" t="s">
        <v>431</v>
      </c>
      <c r="C342" s="2" t="s">
        <v>67</v>
      </c>
      <c r="D342" s="2" t="s">
        <v>422</v>
      </c>
      <c r="E342" s="2" t="s">
        <v>54</v>
      </c>
      <c r="F342" s="10">
        <v>8</v>
      </c>
      <c r="G342" s="2" t="s">
        <v>27</v>
      </c>
      <c r="H342" s="7" t="str">
        <f>HYPERLINK("mapany/outputs/custom_room_5_scen_4/reconstruction.glb","mapany/outputs/custom_room_5_scen_4/reconstruction.glb")</f>
        <v>mapany/outputs/custom_room_5_scen_4/reconstruction.glb</v>
      </c>
      <c r="I342" s="6" t="s">
        <v>432</v>
      </c>
      <c r="J342" s="3" t="s">
        <v>25</v>
      </c>
      <c r="K342" s="3">
        <v>2</v>
      </c>
      <c r="L342" s="3">
        <v>2</v>
      </c>
      <c r="M342" s="3">
        <v>2</v>
      </c>
      <c r="N342" s="3">
        <v>2</v>
      </c>
      <c r="O342" s="4">
        <f t="shared" si="10"/>
        <v>8</v>
      </c>
      <c r="P342" s="3"/>
      <c r="Q342" s="6" t="str">
        <f t="shared" si="11"/>
        <v>OK</v>
      </c>
      <c r="R342" s="6" t="s">
        <v>433</v>
      </c>
    </row>
    <row r="343" spans="1:18" ht="33.950000000000003" customHeight="1" x14ac:dyDescent="0.25">
      <c r="A343" s="10">
        <v>342</v>
      </c>
      <c r="B343" s="2" t="s">
        <v>434</v>
      </c>
      <c r="C343" s="2" t="s">
        <v>67</v>
      </c>
      <c r="D343" s="2" t="s">
        <v>435</v>
      </c>
      <c r="E343" s="2" t="s">
        <v>162</v>
      </c>
      <c r="F343" s="10">
        <v>1</v>
      </c>
      <c r="G343" s="2" t="s">
        <v>23</v>
      </c>
      <c r="H343" s="7" t="str">
        <f>HYPERLINK("vggt/outputs/custom_spqr_scen_1/reconstruction.glb","vggt/outputs/custom_spqr_scen_1/reconstruction.glb")</f>
        <v>vggt/outputs/custom_spqr_scen_1/reconstruction.glb</v>
      </c>
      <c r="I343" s="6" t="s">
        <v>436</v>
      </c>
      <c r="J343" s="3" t="s">
        <v>25</v>
      </c>
      <c r="K343" s="3">
        <v>2</v>
      </c>
      <c r="L343" s="3">
        <v>2</v>
      </c>
      <c r="M343" s="3">
        <v>1</v>
      </c>
      <c r="N343" s="3">
        <v>2</v>
      </c>
      <c r="O343" s="4">
        <f t="shared" si="10"/>
        <v>7</v>
      </c>
      <c r="P343" s="3"/>
      <c r="Q343" s="6" t="str">
        <f t="shared" si="11"/>
        <v>OK</v>
      </c>
      <c r="R343" s="6" t="s">
        <v>437</v>
      </c>
    </row>
    <row r="344" spans="1:18" ht="33.950000000000003" customHeight="1" x14ac:dyDescent="0.25">
      <c r="A344" s="10">
        <v>343</v>
      </c>
      <c r="B344" s="2" t="s">
        <v>434</v>
      </c>
      <c r="C344" s="2" t="s">
        <v>67</v>
      </c>
      <c r="D344" s="2" t="s">
        <v>435</v>
      </c>
      <c r="E344" s="2" t="s">
        <v>162</v>
      </c>
      <c r="F344" s="10">
        <v>1</v>
      </c>
      <c r="G344" s="2" t="s">
        <v>27</v>
      </c>
      <c r="H344" s="7" t="str">
        <f>HYPERLINK("mapany/outputs/custom_spqr_scen_1/reconstruction.glb","mapany/outputs/custom_spqr_scen_1/reconstruction.glb")</f>
        <v>mapany/outputs/custom_spqr_scen_1/reconstruction.glb</v>
      </c>
      <c r="I344" s="6" t="s">
        <v>436</v>
      </c>
      <c r="J344" s="3" t="s">
        <v>25</v>
      </c>
      <c r="K344" s="3">
        <v>3</v>
      </c>
      <c r="L344" s="3">
        <v>2</v>
      </c>
      <c r="M344" s="3">
        <v>2</v>
      </c>
      <c r="N344" s="3">
        <v>2</v>
      </c>
      <c r="O344" s="4">
        <f t="shared" si="10"/>
        <v>9</v>
      </c>
      <c r="P344" s="3"/>
      <c r="Q344" s="6" t="str">
        <f t="shared" si="11"/>
        <v>OK</v>
      </c>
      <c r="R344" s="6" t="s">
        <v>437</v>
      </c>
    </row>
    <row r="345" spans="1:18" ht="33.950000000000003" customHeight="1" x14ac:dyDescent="0.25">
      <c r="A345" s="10">
        <v>344</v>
      </c>
      <c r="B345" s="2" t="s">
        <v>438</v>
      </c>
      <c r="C345" s="2" t="s">
        <v>67</v>
      </c>
      <c r="D345" s="2" t="s">
        <v>435</v>
      </c>
      <c r="E345" s="2" t="s">
        <v>162</v>
      </c>
      <c r="F345" s="10">
        <v>2</v>
      </c>
      <c r="G345" s="2" t="s">
        <v>23</v>
      </c>
      <c r="H345" s="7" t="str">
        <f>HYPERLINK("vggt/outputs/custom_spqr_scen_2/reconstruction.glb","vggt/outputs/custom_spqr_scen_2/reconstruction.glb")</f>
        <v>vggt/outputs/custom_spqr_scen_2/reconstruction.glb</v>
      </c>
      <c r="I345" s="6" t="s">
        <v>439</v>
      </c>
      <c r="J345" s="3" t="s">
        <v>25</v>
      </c>
      <c r="K345" s="3">
        <v>1</v>
      </c>
      <c r="L345" s="3">
        <v>2</v>
      </c>
      <c r="M345" s="3">
        <v>1</v>
      </c>
      <c r="N345" s="3">
        <v>2</v>
      </c>
      <c r="O345" s="4">
        <f t="shared" si="10"/>
        <v>6</v>
      </c>
      <c r="P345" s="3"/>
      <c r="Q345" s="6" t="str">
        <f t="shared" si="11"/>
        <v>OK</v>
      </c>
      <c r="R345" s="6" t="s">
        <v>440</v>
      </c>
    </row>
    <row r="346" spans="1:18" ht="33.950000000000003" customHeight="1" x14ac:dyDescent="0.25">
      <c r="A346" s="10">
        <v>345</v>
      </c>
      <c r="B346" s="2" t="s">
        <v>438</v>
      </c>
      <c r="C346" s="2" t="s">
        <v>67</v>
      </c>
      <c r="D346" s="2" t="s">
        <v>435</v>
      </c>
      <c r="E346" s="2" t="s">
        <v>162</v>
      </c>
      <c r="F346" s="10">
        <v>2</v>
      </c>
      <c r="G346" s="2" t="s">
        <v>31</v>
      </c>
      <c r="H346" s="7" t="str">
        <f>HYPERLINK("mast3r/outputs/custom_spqr_scen_2/reconstruction.glb","mast3r/outputs/custom_spqr_scen_2/reconstruction.glb")</f>
        <v>mast3r/outputs/custom_spqr_scen_2/reconstruction.glb</v>
      </c>
      <c r="I346" s="6" t="s">
        <v>439</v>
      </c>
      <c r="J346" s="3" t="s">
        <v>25</v>
      </c>
      <c r="K346" s="3">
        <v>1</v>
      </c>
      <c r="L346" s="3">
        <v>1</v>
      </c>
      <c r="M346" s="3">
        <v>2</v>
      </c>
      <c r="N346" s="3">
        <v>1</v>
      </c>
      <c r="O346" s="4">
        <f t="shared" si="10"/>
        <v>5</v>
      </c>
      <c r="P346" s="3"/>
      <c r="Q346" s="6" t="str">
        <f t="shared" si="11"/>
        <v>OK</v>
      </c>
      <c r="R346" s="6" t="s">
        <v>440</v>
      </c>
    </row>
    <row r="347" spans="1:18" ht="33.950000000000003" customHeight="1" x14ac:dyDescent="0.25">
      <c r="A347" s="10">
        <v>346</v>
      </c>
      <c r="B347" s="2" t="s">
        <v>438</v>
      </c>
      <c r="C347" s="2" t="s">
        <v>67</v>
      </c>
      <c r="D347" s="2" t="s">
        <v>435</v>
      </c>
      <c r="E347" s="2" t="s">
        <v>162</v>
      </c>
      <c r="F347" s="10">
        <v>2</v>
      </c>
      <c r="G347" s="2" t="s">
        <v>27</v>
      </c>
      <c r="H347" s="7" t="str">
        <f>HYPERLINK("mapany/outputs/custom_spqr_scen_2/reconstruction.glb","mapany/outputs/custom_spqr_scen_2/reconstruction.glb")</f>
        <v>mapany/outputs/custom_spqr_scen_2/reconstruction.glb</v>
      </c>
      <c r="I347" s="6" t="s">
        <v>439</v>
      </c>
      <c r="J347" s="3" t="s">
        <v>25</v>
      </c>
      <c r="K347" s="3">
        <v>3</v>
      </c>
      <c r="L347" s="3">
        <v>1</v>
      </c>
      <c r="M347" s="3">
        <v>2</v>
      </c>
      <c r="N347" s="3">
        <v>2</v>
      </c>
      <c r="O347" s="4">
        <f t="shared" si="10"/>
        <v>8</v>
      </c>
      <c r="P347" s="3"/>
      <c r="Q347" s="6" t="str">
        <f t="shared" si="11"/>
        <v>OK</v>
      </c>
      <c r="R347" s="6" t="s">
        <v>440</v>
      </c>
    </row>
    <row r="348" spans="1:18" ht="33.950000000000003" customHeight="1" x14ac:dyDescent="0.25">
      <c r="A348" s="10">
        <v>347</v>
      </c>
      <c r="B348" s="2" t="s">
        <v>441</v>
      </c>
      <c r="C348" s="2" t="s">
        <v>67</v>
      </c>
      <c r="D348" s="2" t="s">
        <v>435</v>
      </c>
      <c r="E348" s="2" t="s">
        <v>162</v>
      </c>
      <c r="F348" s="10">
        <v>4</v>
      </c>
      <c r="G348" s="2" t="s">
        <v>23</v>
      </c>
      <c r="H348" s="7" t="str">
        <f>HYPERLINK("vggt/outputs/custom_spqr_scen_3/reconstruction.glb","vggt/outputs/custom_spqr_scen_3/reconstruction.glb")</f>
        <v>vggt/outputs/custom_spqr_scen_3/reconstruction.glb</v>
      </c>
      <c r="I348" s="6" t="s">
        <v>442</v>
      </c>
      <c r="J348" s="3" t="s">
        <v>25</v>
      </c>
      <c r="K348" s="3">
        <v>2</v>
      </c>
      <c r="L348" s="3">
        <v>1</v>
      </c>
      <c r="M348" s="3">
        <v>2</v>
      </c>
      <c r="N348" s="3">
        <v>2</v>
      </c>
      <c r="O348" s="4">
        <f t="shared" si="10"/>
        <v>7</v>
      </c>
      <c r="P348" s="3"/>
      <c r="Q348" s="6" t="str">
        <f t="shared" si="11"/>
        <v>OK</v>
      </c>
      <c r="R348" s="6" t="s">
        <v>443</v>
      </c>
    </row>
    <row r="349" spans="1:18" ht="33.950000000000003" customHeight="1" x14ac:dyDescent="0.25">
      <c r="A349" s="10">
        <v>348</v>
      </c>
      <c r="B349" s="2" t="s">
        <v>441</v>
      </c>
      <c r="C349" s="2" t="s">
        <v>67</v>
      </c>
      <c r="D349" s="2" t="s">
        <v>435</v>
      </c>
      <c r="E349" s="2" t="s">
        <v>162</v>
      </c>
      <c r="F349" s="10">
        <v>4</v>
      </c>
      <c r="G349" s="2" t="s">
        <v>31</v>
      </c>
      <c r="H349" s="7" t="str">
        <f>HYPERLINK("mast3r/outputs/custom_spqr_scen_3/reconstruction.glb","mast3r/outputs/custom_spqr_scen_3/reconstruction.glb")</f>
        <v>mast3r/outputs/custom_spqr_scen_3/reconstruction.glb</v>
      </c>
      <c r="I349" s="6" t="s">
        <v>442</v>
      </c>
      <c r="J349" s="3" t="s">
        <v>25</v>
      </c>
      <c r="K349" s="3">
        <v>2</v>
      </c>
      <c r="L349" s="3">
        <v>2</v>
      </c>
      <c r="M349" s="3">
        <v>1</v>
      </c>
      <c r="N349" s="3">
        <v>2</v>
      </c>
      <c r="O349" s="4">
        <f t="shared" si="10"/>
        <v>7</v>
      </c>
      <c r="P349" s="3"/>
      <c r="Q349" s="6" t="str">
        <f t="shared" si="11"/>
        <v>OK</v>
      </c>
      <c r="R349" s="6" t="s">
        <v>443</v>
      </c>
    </row>
    <row r="350" spans="1:18" ht="33.950000000000003" customHeight="1" x14ac:dyDescent="0.25">
      <c r="A350" s="10">
        <v>349</v>
      </c>
      <c r="B350" s="2" t="s">
        <v>441</v>
      </c>
      <c r="C350" s="2" t="s">
        <v>67</v>
      </c>
      <c r="D350" s="2" t="s">
        <v>435</v>
      </c>
      <c r="E350" s="2" t="s">
        <v>162</v>
      </c>
      <c r="F350" s="10">
        <v>4</v>
      </c>
      <c r="G350" s="2" t="s">
        <v>27</v>
      </c>
      <c r="H350" s="7" t="str">
        <f>HYPERLINK("mapany/outputs/custom_spqr_scen_3/reconstruction.glb","mapany/outputs/custom_spqr_scen_3/reconstruction.glb")</f>
        <v>mapany/outputs/custom_spqr_scen_3/reconstruction.glb</v>
      </c>
      <c r="I350" s="6" t="s">
        <v>442</v>
      </c>
      <c r="J350" s="3" t="s">
        <v>25</v>
      </c>
      <c r="K350" s="3">
        <v>3</v>
      </c>
      <c r="L350" s="3">
        <v>1</v>
      </c>
      <c r="M350" s="3">
        <v>2</v>
      </c>
      <c r="N350" s="3">
        <v>2</v>
      </c>
      <c r="O350" s="4">
        <f t="shared" si="10"/>
        <v>8</v>
      </c>
      <c r="P350" s="3"/>
      <c r="Q350" s="6" t="str">
        <f t="shared" si="11"/>
        <v>OK</v>
      </c>
      <c r="R350" s="6" t="s">
        <v>443</v>
      </c>
    </row>
    <row r="351" spans="1:18" ht="33.950000000000003" customHeight="1" x14ac:dyDescent="0.25">
      <c r="A351" s="10">
        <v>350</v>
      </c>
      <c r="B351" s="2" t="s">
        <v>444</v>
      </c>
      <c r="C351" s="2" t="s">
        <v>67</v>
      </c>
      <c r="D351" s="2" t="s">
        <v>435</v>
      </c>
      <c r="E351" s="2" t="s">
        <v>162</v>
      </c>
      <c r="F351" s="10">
        <v>8</v>
      </c>
      <c r="G351" s="2" t="s">
        <v>23</v>
      </c>
      <c r="H351" s="7" t="str">
        <f>HYPERLINK("vggt/outputs/custom_spqr_scen_4/reconstruction.glb","vggt/outputs/custom_spqr_scen_4/reconstruction.glb")</f>
        <v>vggt/outputs/custom_spqr_scen_4/reconstruction.glb</v>
      </c>
      <c r="I351" s="6" t="s">
        <v>445</v>
      </c>
      <c r="J351" s="3" t="s">
        <v>25</v>
      </c>
      <c r="K351" s="3">
        <v>1</v>
      </c>
      <c r="L351" s="3">
        <v>2</v>
      </c>
      <c r="M351" s="3">
        <v>1</v>
      </c>
      <c r="N351" s="3">
        <v>2</v>
      </c>
      <c r="O351" s="4">
        <f t="shared" si="10"/>
        <v>6</v>
      </c>
      <c r="P351" s="3"/>
      <c r="Q351" s="6" t="str">
        <f t="shared" si="11"/>
        <v>OK</v>
      </c>
      <c r="R351" s="6" t="s">
        <v>446</v>
      </c>
    </row>
    <row r="352" spans="1:18" ht="33.950000000000003" customHeight="1" x14ac:dyDescent="0.25">
      <c r="A352" s="10">
        <v>351</v>
      </c>
      <c r="B352" s="2" t="s">
        <v>444</v>
      </c>
      <c r="C352" s="2" t="s">
        <v>67</v>
      </c>
      <c r="D352" s="2" t="s">
        <v>435</v>
      </c>
      <c r="E352" s="2" t="s">
        <v>162</v>
      </c>
      <c r="F352" s="10">
        <v>8</v>
      </c>
      <c r="G352" s="2" t="s">
        <v>31</v>
      </c>
      <c r="H352" s="7" t="str">
        <f>HYPERLINK("mast3r/outputs/custom_spqr_scen_4/reconstruction.glb","mast3r/outputs/custom_spqr_scen_4/reconstruction.glb")</f>
        <v>mast3r/outputs/custom_spqr_scen_4/reconstruction.glb</v>
      </c>
      <c r="I352" s="6" t="s">
        <v>445</v>
      </c>
      <c r="J352" s="3" t="s">
        <v>25</v>
      </c>
      <c r="K352" s="3">
        <v>2</v>
      </c>
      <c r="L352" s="3">
        <v>2</v>
      </c>
      <c r="M352" s="3">
        <v>1</v>
      </c>
      <c r="N352" s="3">
        <v>2</v>
      </c>
      <c r="O352" s="4">
        <f t="shared" si="10"/>
        <v>7</v>
      </c>
      <c r="P352" s="3"/>
      <c r="Q352" s="6" t="str">
        <f t="shared" si="11"/>
        <v>OK</v>
      </c>
      <c r="R352" s="6" t="s">
        <v>446</v>
      </c>
    </row>
    <row r="353" spans="1:18" ht="33.950000000000003" customHeight="1" x14ac:dyDescent="0.25">
      <c r="A353" s="10">
        <v>352</v>
      </c>
      <c r="B353" s="2" t="s">
        <v>444</v>
      </c>
      <c r="C353" s="2" t="s">
        <v>67</v>
      </c>
      <c r="D353" s="2" t="s">
        <v>435</v>
      </c>
      <c r="E353" s="2" t="s">
        <v>162</v>
      </c>
      <c r="F353" s="10">
        <v>8</v>
      </c>
      <c r="G353" s="2" t="s">
        <v>27</v>
      </c>
      <c r="H353" s="7" t="str">
        <f>HYPERLINK("mapany/outputs/custom_spqr_scen_4/reconstruction.glb","mapany/outputs/custom_spqr_scen_4/reconstruction.glb")</f>
        <v>mapany/outputs/custom_spqr_scen_4/reconstruction.glb</v>
      </c>
      <c r="I353" s="6" t="s">
        <v>445</v>
      </c>
      <c r="J353" s="3" t="s">
        <v>25</v>
      </c>
      <c r="K353" s="3">
        <v>3</v>
      </c>
      <c r="L353" s="3">
        <v>1</v>
      </c>
      <c r="M353" s="3">
        <v>1</v>
      </c>
      <c r="N353" s="3">
        <v>1</v>
      </c>
      <c r="O353" s="4">
        <f t="shared" si="10"/>
        <v>6</v>
      </c>
      <c r="P353" s="3"/>
      <c r="Q353" s="6" t="str">
        <f t="shared" si="11"/>
        <v>OK</v>
      </c>
      <c r="R353" s="6" t="s">
        <v>446</v>
      </c>
    </row>
    <row r="354" spans="1:18" ht="33.950000000000003" customHeight="1" x14ac:dyDescent="0.25">
      <c r="A354" s="10">
        <v>353</v>
      </c>
      <c r="B354" s="2" t="s">
        <v>447</v>
      </c>
      <c r="C354" s="2" t="s">
        <v>67</v>
      </c>
      <c r="D354" s="2" t="s">
        <v>448</v>
      </c>
      <c r="E354" s="2" t="s">
        <v>162</v>
      </c>
      <c r="F354" s="10">
        <v>1</v>
      </c>
      <c r="G354" s="2" t="s">
        <v>23</v>
      </c>
      <c r="H354" s="7" t="str">
        <f>HYPERLINK("vggt/outputs/custom_statue_scen_1/reconstruction.glb","vggt/outputs/custom_statue_scen_1/reconstruction.glb")</f>
        <v>vggt/outputs/custom_statue_scen_1/reconstruction.glb</v>
      </c>
      <c r="I354" s="6" t="s">
        <v>449</v>
      </c>
      <c r="J354" s="3" t="s">
        <v>25</v>
      </c>
      <c r="K354" s="3">
        <v>1</v>
      </c>
      <c r="L354" s="3">
        <v>2</v>
      </c>
      <c r="M354" s="3">
        <v>3</v>
      </c>
      <c r="N354" s="3">
        <v>2</v>
      </c>
      <c r="O354" s="4">
        <f t="shared" si="10"/>
        <v>8</v>
      </c>
      <c r="P354" s="3"/>
      <c r="Q354" s="6" t="str">
        <f t="shared" si="11"/>
        <v>OK</v>
      </c>
      <c r="R354" s="6" t="s">
        <v>450</v>
      </c>
    </row>
    <row r="355" spans="1:18" ht="33.950000000000003" customHeight="1" x14ac:dyDescent="0.25">
      <c r="A355" s="10">
        <v>354</v>
      </c>
      <c r="B355" s="2" t="s">
        <v>451</v>
      </c>
      <c r="C355" s="2" t="s">
        <v>20</v>
      </c>
      <c r="D355" s="2" t="s">
        <v>448</v>
      </c>
      <c r="E355" s="2" t="s">
        <v>162</v>
      </c>
      <c r="F355" s="10">
        <v>1</v>
      </c>
      <c r="G355" s="2" t="s">
        <v>23</v>
      </c>
      <c r="H355" s="7" t="str">
        <f>HYPERLINK("vggt/outputs/eth3d_statue_scen_1/reconstruction.glb","vggt/outputs/eth3d_statue_scen_1/reconstruction.glb")</f>
        <v>vggt/outputs/eth3d_statue_scen_1/reconstruction.glb</v>
      </c>
      <c r="I355" s="6" t="s">
        <v>452</v>
      </c>
      <c r="J355" s="3" t="s">
        <v>25</v>
      </c>
      <c r="K355" s="3">
        <v>2</v>
      </c>
      <c r="L355" s="3">
        <v>2</v>
      </c>
      <c r="M355" s="3">
        <v>1</v>
      </c>
      <c r="N355" s="3">
        <v>2</v>
      </c>
      <c r="O355" s="4">
        <f t="shared" si="10"/>
        <v>7</v>
      </c>
      <c r="P355" s="3"/>
      <c r="Q355" s="6" t="str">
        <f t="shared" si="11"/>
        <v>OK</v>
      </c>
      <c r="R355" s="6" t="s">
        <v>453</v>
      </c>
    </row>
    <row r="356" spans="1:18" ht="33.950000000000003" customHeight="1" x14ac:dyDescent="0.25">
      <c r="A356" s="10">
        <v>355</v>
      </c>
      <c r="B356" s="2" t="s">
        <v>447</v>
      </c>
      <c r="C356" s="2" t="s">
        <v>67</v>
      </c>
      <c r="D356" s="2" t="s">
        <v>448</v>
      </c>
      <c r="E356" s="2" t="s">
        <v>162</v>
      </c>
      <c r="F356" s="10">
        <v>1</v>
      </c>
      <c r="G356" s="2" t="s">
        <v>27</v>
      </c>
      <c r="H356" s="7" t="str">
        <f>HYPERLINK("mapany/outputs/custom_statue_scen_1/reconstruction.glb","mapany/outputs/custom_statue_scen_1/reconstruction.glb")</f>
        <v>mapany/outputs/custom_statue_scen_1/reconstruction.glb</v>
      </c>
      <c r="I356" s="6" t="s">
        <v>449</v>
      </c>
      <c r="J356" s="3" t="s">
        <v>25</v>
      </c>
      <c r="K356" s="3">
        <v>3</v>
      </c>
      <c r="L356" s="3">
        <v>2</v>
      </c>
      <c r="M356" s="3">
        <v>1</v>
      </c>
      <c r="N356" s="3">
        <v>2</v>
      </c>
      <c r="O356" s="4">
        <f t="shared" si="10"/>
        <v>8</v>
      </c>
      <c r="P356" s="3"/>
      <c r="Q356" s="6" t="str">
        <f t="shared" si="11"/>
        <v>OK</v>
      </c>
      <c r="R356" s="6" t="s">
        <v>450</v>
      </c>
    </row>
    <row r="357" spans="1:18" ht="33.950000000000003" customHeight="1" x14ac:dyDescent="0.25">
      <c r="A357" s="10">
        <v>356</v>
      </c>
      <c r="B357" s="2" t="s">
        <v>451</v>
      </c>
      <c r="C357" s="2" t="s">
        <v>20</v>
      </c>
      <c r="D357" s="2" t="s">
        <v>448</v>
      </c>
      <c r="E357" s="2" t="s">
        <v>162</v>
      </c>
      <c r="F357" s="10">
        <v>1</v>
      </c>
      <c r="G357" s="2" t="s">
        <v>27</v>
      </c>
      <c r="H357" s="7" t="str">
        <f>HYPERLINK("mapany/outputs/eth3d_statue_scen_1/reconstruction.glb","mapany/outputs/eth3d_statue_scen_1/reconstruction.glb")</f>
        <v>mapany/outputs/eth3d_statue_scen_1/reconstruction.glb</v>
      </c>
      <c r="I357" s="6" t="s">
        <v>452</v>
      </c>
      <c r="J357" s="3" t="s">
        <v>25</v>
      </c>
      <c r="K357" s="3">
        <v>1</v>
      </c>
      <c r="L357" s="3">
        <v>2</v>
      </c>
      <c r="M357" s="3">
        <v>2</v>
      </c>
      <c r="N357" s="3">
        <v>2</v>
      </c>
      <c r="O357" s="4">
        <f t="shared" si="10"/>
        <v>7</v>
      </c>
      <c r="P357" s="3"/>
      <c r="Q357" s="6" t="str">
        <f t="shared" si="11"/>
        <v>OK</v>
      </c>
      <c r="R357" s="6" t="s">
        <v>453</v>
      </c>
    </row>
    <row r="358" spans="1:18" ht="33.950000000000003" customHeight="1" x14ac:dyDescent="0.25">
      <c r="A358" s="10">
        <v>357</v>
      </c>
      <c r="B358" s="2" t="s">
        <v>454</v>
      </c>
      <c r="C358" s="2" t="s">
        <v>67</v>
      </c>
      <c r="D358" s="2" t="s">
        <v>448</v>
      </c>
      <c r="E358" s="2" t="s">
        <v>162</v>
      </c>
      <c r="F358" s="10">
        <v>2</v>
      </c>
      <c r="G358" s="2" t="s">
        <v>23</v>
      </c>
      <c r="H358" s="7" t="str">
        <f>HYPERLINK("vggt/outputs/custom_statue_scen_2/reconstruction.glb","vggt/outputs/custom_statue_scen_2/reconstruction.glb")</f>
        <v>vggt/outputs/custom_statue_scen_2/reconstruction.glb</v>
      </c>
      <c r="I358" s="6" t="s">
        <v>455</v>
      </c>
      <c r="J358" s="3" t="s">
        <v>25</v>
      </c>
      <c r="K358" s="3">
        <v>1</v>
      </c>
      <c r="L358" s="3">
        <v>1</v>
      </c>
      <c r="M358" s="3">
        <v>3</v>
      </c>
      <c r="N358" s="3">
        <v>1</v>
      </c>
      <c r="O358" s="4">
        <f t="shared" si="10"/>
        <v>6</v>
      </c>
      <c r="P358" s="3"/>
      <c r="Q358" s="6" t="str">
        <f t="shared" si="11"/>
        <v>OK</v>
      </c>
      <c r="R358" s="6" t="s">
        <v>456</v>
      </c>
    </row>
    <row r="359" spans="1:18" ht="33.950000000000003" customHeight="1" x14ac:dyDescent="0.25">
      <c r="A359" s="10">
        <v>358</v>
      </c>
      <c r="B359" s="2" t="s">
        <v>457</v>
      </c>
      <c r="C359" s="2" t="s">
        <v>20</v>
      </c>
      <c r="D359" s="2" t="s">
        <v>448</v>
      </c>
      <c r="E359" s="2" t="s">
        <v>162</v>
      </c>
      <c r="F359" s="10">
        <v>2</v>
      </c>
      <c r="G359" s="2" t="s">
        <v>23</v>
      </c>
      <c r="H359" s="7" t="str">
        <f>HYPERLINK("vggt/outputs/eth3d_statue_scen_2/reconstruction.glb","vggt/outputs/eth3d_statue_scen_2/reconstruction.glb")</f>
        <v>vggt/outputs/eth3d_statue_scen_2/reconstruction.glb</v>
      </c>
      <c r="I359" s="6" t="s">
        <v>458</v>
      </c>
      <c r="J359" s="3" t="s">
        <v>25</v>
      </c>
      <c r="K359" s="3">
        <v>2</v>
      </c>
      <c r="L359" s="3">
        <v>2</v>
      </c>
      <c r="M359" s="3">
        <v>1</v>
      </c>
      <c r="N359" s="3">
        <v>2</v>
      </c>
      <c r="O359" s="4">
        <f t="shared" si="10"/>
        <v>7</v>
      </c>
      <c r="P359" s="3"/>
      <c r="Q359" s="6" t="str">
        <f t="shared" si="11"/>
        <v>OK</v>
      </c>
      <c r="R359" s="6" t="s">
        <v>459</v>
      </c>
    </row>
    <row r="360" spans="1:18" ht="33.950000000000003" customHeight="1" x14ac:dyDescent="0.25">
      <c r="A360" s="10">
        <v>359</v>
      </c>
      <c r="B360" s="2" t="s">
        <v>454</v>
      </c>
      <c r="C360" s="2" t="s">
        <v>67</v>
      </c>
      <c r="D360" s="2" t="s">
        <v>448</v>
      </c>
      <c r="E360" s="2" t="s">
        <v>162</v>
      </c>
      <c r="F360" s="10">
        <v>2</v>
      </c>
      <c r="G360" s="2" t="s">
        <v>31</v>
      </c>
      <c r="H360" s="7" t="str">
        <f>HYPERLINK("mast3r/outputs/custom_statue_scen_2/reconstruction.glb","mast3r/outputs/custom_statue_scen_2/reconstruction.glb")</f>
        <v>mast3r/outputs/custom_statue_scen_2/reconstruction.glb</v>
      </c>
      <c r="I360" s="6" t="s">
        <v>455</v>
      </c>
      <c r="J360" s="3" t="s">
        <v>25</v>
      </c>
      <c r="K360" s="3">
        <v>1</v>
      </c>
      <c r="L360" s="3">
        <v>1</v>
      </c>
      <c r="M360" s="3">
        <v>2</v>
      </c>
      <c r="N360" s="3">
        <v>1</v>
      </c>
      <c r="O360" s="4">
        <f t="shared" si="10"/>
        <v>5</v>
      </c>
      <c r="P360" s="3"/>
      <c r="Q360" s="6" t="str">
        <f t="shared" si="11"/>
        <v>OK</v>
      </c>
      <c r="R360" s="6" t="s">
        <v>456</v>
      </c>
    </row>
    <row r="361" spans="1:18" ht="33.950000000000003" customHeight="1" x14ac:dyDescent="0.25">
      <c r="A361" s="10">
        <v>360</v>
      </c>
      <c r="B361" s="2" t="s">
        <v>457</v>
      </c>
      <c r="C361" s="2" t="s">
        <v>20</v>
      </c>
      <c r="D361" s="2" t="s">
        <v>448</v>
      </c>
      <c r="E361" s="2" t="s">
        <v>162</v>
      </c>
      <c r="F361" s="10">
        <v>2</v>
      </c>
      <c r="G361" s="2" t="s">
        <v>31</v>
      </c>
      <c r="H361" s="7" t="str">
        <f>HYPERLINK("mast3r/outputs/eth3d_statue_scen_2/reconstruction.glb","mast3r/outputs/eth3d_statue_scen_2/reconstruction.glb")</f>
        <v>mast3r/outputs/eth3d_statue_scen_2/reconstruction.glb</v>
      </c>
      <c r="I361" s="6" t="s">
        <v>458</v>
      </c>
      <c r="J361" s="3" t="s">
        <v>25</v>
      </c>
      <c r="K361" s="3">
        <v>1</v>
      </c>
      <c r="L361" s="3">
        <v>1</v>
      </c>
      <c r="M361" s="3">
        <v>1</v>
      </c>
      <c r="N361" s="3">
        <v>1</v>
      </c>
      <c r="O361" s="4">
        <f t="shared" si="10"/>
        <v>4</v>
      </c>
      <c r="P361" s="3"/>
      <c r="Q361" s="6" t="str">
        <f t="shared" si="11"/>
        <v>OK</v>
      </c>
      <c r="R361" s="6" t="s">
        <v>459</v>
      </c>
    </row>
    <row r="362" spans="1:18" ht="33.950000000000003" customHeight="1" x14ac:dyDescent="0.25">
      <c r="A362" s="10">
        <v>361</v>
      </c>
      <c r="B362" s="2" t="s">
        <v>454</v>
      </c>
      <c r="C362" s="2" t="s">
        <v>67</v>
      </c>
      <c r="D362" s="2" t="s">
        <v>448</v>
      </c>
      <c r="E362" s="2" t="s">
        <v>162</v>
      </c>
      <c r="F362" s="10">
        <v>2</v>
      </c>
      <c r="G362" s="2" t="s">
        <v>27</v>
      </c>
      <c r="H362" s="7" t="str">
        <f>HYPERLINK("mapany/outputs/custom_statue_scen_2/reconstruction.glb","mapany/outputs/custom_statue_scen_2/reconstruction.glb")</f>
        <v>mapany/outputs/custom_statue_scen_2/reconstruction.glb</v>
      </c>
      <c r="I362" s="6" t="s">
        <v>455</v>
      </c>
      <c r="J362" s="3" t="s">
        <v>25</v>
      </c>
      <c r="K362" s="3">
        <v>3</v>
      </c>
      <c r="L362" s="3">
        <v>2</v>
      </c>
      <c r="M362" s="3">
        <v>1</v>
      </c>
      <c r="N362" s="3">
        <v>2</v>
      </c>
      <c r="O362" s="4">
        <f t="shared" si="10"/>
        <v>8</v>
      </c>
      <c r="P362" s="3"/>
      <c r="Q362" s="6" t="str">
        <f t="shared" si="11"/>
        <v>OK</v>
      </c>
      <c r="R362" s="6" t="s">
        <v>456</v>
      </c>
    </row>
    <row r="363" spans="1:18" ht="33.950000000000003" customHeight="1" x14ac:dyDescent="0.25">
      <c r="A363" s="10">
        <v>362</v>
      </c>
      <c r="B363" s="2" t="s">
        <v>457</v>
      </c>
      <c r="C363" s="2" t="s">
        <v>20</v>
      </c>
      <c r="D363" s="2" t="s">
        <v>448</v>
      </c>
      <c r="E363" s="2" t="s">
        <v>162</v>
      </c>
      <c r="F363" s="10">
        <v>2</v>
      </c>
      <c r="G363" s="2" t="s">
        <v>27</v>
      </c>
      <c r="H363" s="7" t="str">
        <f>HYPERLINK("mapany/outputs/eth3d_statue_scen_2/reconstruction.glb","mapany/outputs/eth3d_statue_scen_2/reconstruction.glb")</f>
        <v>mapany/outputs/eth3d_statue_scen_2/reconstruction.glb</v>
      </c>
      <c r="I363" s="6" t="s">
        <v>458</v>
      </c>
      <c r="J363" s="3" t="s">
        <v>25</v>
      </c>
      <c r="K363" s="3">
        <v>2</v>
      </c>
      <c r="L363" s="3">
        <v>1</v>
      </c>
      <c r="M363" s="3">
        <v>2</v>
      </c>
      <c r="N363" s="3">
        <v>2</v>
      </c>
      <c r="O363" s="4">
        <f t="shared" si="10"/>
        <v>7</v>
      </c>
      <c r="P363" s="3"/>
      <c r="Q363" s="6" t="str">
        <f t="shared" si="11"/>
        <v>OK</v>
      </c>
      <c r="R363" s="6" t="s">
        <v>459</v>
      </c>
    </row>
    <row r="364" spans="1:18" ht="33.950000000000003" customHeight="1" x14ac:dyDescent="0.25">
      <c r="A364" s="10">
        <v>363</v>
      </c>
      <c r="B364" s="2" t="s">
        <v>460</v>
      </c>
      <c r="C364" s="2" t="s">
        <v>67</v>
      </c>
      <c r="D364" s="2" t="s">
        <v>448</v>
      </c>
      <c r="E364" s="2" t="s">
        <v>162</v>
      </c>
      <c r="F364" s="10">
        <v>4</v>
      </c>
      <c r="G364" s="2" t="s">
        <v>23</v>
      </c>
      <c r="H364" s="7" t="str">
        <f>HYPERLINK("vggt/outputs/custom_statue_scen_3/reconstruction.glb","vggt/outputs/custom_statue_scen_3/reconstruction.glb")</f>
        <v>vggt/outputs/custom_statue_scen_3/reconstruction.glb</v>
      </c>
      <c r="I364" s="6" t="s">
        <v>461</v>
      </c>
      <c r="J364" s="3" t="s">
        <v>25</v>
      </c>
      <c r="K364" s="3">
        <v>2</v>
      </c>
      <c r="L364" s="3">
        <v>1</v>
      </c>
      <c r="M364" s="3">
        <v>3</v>
      </c>
      <c r="N364" s="3">
        <v>1</v>
      </c>
      <c r="O364" s="4">
        <f t="shared" si="10"/>
        <v>7</v>
      </c>
      <c r="P364" s="3"/>
      <c r="Q364" s="6" t="str">
        <f t="shared" si="11"/>
        <v>OK</v>
      </c>
      <c r="R364" s="6" t="s">
        <v>462</v>
      </c>
    </row>
    <row r="365" spans="1:18" ht="33.950000000000003" customHeight="1" x14ac:dyDescent="0.25">
      <c r="A365" s="10">
        <v>364</v>
      </c>
      <c r="B365" s="2" t="s">
        <v>463</v>
      </c>
      <c r="C365" s="2" t="s">
        <v>20</v>
      </c>
      <c r="D365" s="2" t="s">
        <v>448</v>
      </c>
      <c r="E365" s="2" t="s">
        <v>162</v>
      </c>
      <c r="F365" s="10">
        <v>4</v>
      </c>
      <c r="G365" s="2" t="s">
        <v>23</v>
      </c>
      <c r="H365" s="7" t="str">
        <f>HYPERLINK("vggt/outputs/eth3d_statue_scen_3/reconstruction.glb","vggt/outputs/eth3d_statue_scen_3/reconstruction.glb")</f>
        <v>vggt/outputs/eth3d_statue_scen_3/reconstruction.glb</v>
      </c>
      <c r="I365" s="6" t="s">
        <v>464</v>
      </c>
      <c r="J365" s="3" t="s">
        <v>25</v>
      </c>
      <c r="K365" s="3">
        <v>2</v>
      </c>
      <c r="L365" s="3">
        <v>0</v>
      </c>
      <c r="M365" s="3">
        <v>0</v>
      </c>
      <c r="N365" s="3">
        <v>1</v>
      </c>
      <c r="O365" s="4">
        <f t="shared" si="10"/>
        <v>3</v>
      </c>
      <c r="P365" s="3"/>
      <c r="Q365" s="6" t="str">
        <f t="shared" si="11"/>
        <v>OK</v>
      </c>
      <c r="R365" s="6" t="s">
        <v>465</v>
      </c>
    </row>
    <row r="366" spans="1:18" ht="33.950000000000003" customHeight="1" x14ac:dyDescent="0.25">
      <c r="A366" s="10">
        <v>365</v>
      </c>
      <c r="B366" s="2" t="s">
        <v>460</v>
      </c>
      <c r="C366" s="2" t="s">
        <v>67</v>
      </c>
      <c r="D366" s="2" t="s">
        <v>448</v>
      </c>
      <c r="E366" s="2" t="s">
        <v>162</v>
      </c>
      <c r="F366" s="10">
        <v>4</v>
      </c>
      <c r="G366" s="2" t="s">
        <v>31</v>
      </c>
      <c r="H366" s="7" t="str">
        <f>HYPERLINK("mast3r/outputs/custom_statue_scen_3/reconstruction.glb","mast3r/outputs/custom_statue_scen_3/reconstruction.glb")</f>
        <v>mast3r/outputs/custom_statue_scen_3/reconstruction.glb</v>
      </c>
      <c r="I366" s="6" t="s">
        <v>461</v>
      </c>
      <c r="J366" s="3" t="s">
        <v>25</v>
      </c>
      <c r="K366" s="3">
        <v>2</v>
      </c>
      <c r="L366" s="3">
        <v>2</v>
      </c>
      <c r="M366" s="3">
        <v>1</v>
      </c>
      <c r="N366" s="3">
        <v>2</v>
      </c>
      <c r="O366" s="4">
        <f t="shared" si="10"/>
        <v>7</v>
      </c>
      <c r="P366" s="3"/>
      <c r="Q366" s="6" t="str">
        <f t="shared" si="11"/>
        <v>OK</v>
      </c>
      <c r="R366" s="6" t="s">
        <v>462</v>
      </c>
    </row>
    <row r="367" spans="1:18" ht="33.950000000000003" customHeight="1" x14ac:dyDescent="0.25">
      <c r="A367" s="10">
        <v>366</v>
      </c>
      <c r="B367" s="2" t="s">
        <v>463</v>
      </c>
      <c r="C367" s="2" t="s">
        <v>20</v>
      </c>
      <c r="D367" s="2" t="s">
        <v>448</v>
      </c>
      <c r="E367" s="2" t="s">
        <v>162</v>
      </c>
      <c r="F367" s="10">
        <v>4</v>
      </c>
      <c r="G367" s="2" t="s">
        <v>31</v>
      </c>
      <c r="H367" s="7" t="str">
        <f>HYPERLINK("mast3r/outputs/eth3d_statue_scen_3/reconstruction.glb","mast3r/outputs/eth3d_statue_scen_3/reconstruction.glb")</f>
        <v>mast3r/outputs/eth3d_statue_scen_3/reconstruction.glb</v>
      </c>
      <c r="I367" s="6" t="s">
        <v>464</v>
      </c>
      <c r="J367" s="3" t="s">
        <v>25</v>
      </c>
      <c r="K367" s="3">
        <v>1</v>
      </c>
      <c r="L367" s="3">
        <v>1</v>
      </c>
      <c r="M367" s="3">
        <v>2</v>
      </c>
      <c r="N367" s="3">
        <v>1</v>
      </c>
      <c r="O367" s="4">
        <f t="shared" si="10"/>
        <v>5</v>
      </c>
      <c r="P367" s="3"/>
      <c r="Q367" s="6" t="str">
        <f t="shared" si="11"/>
        <v>OK</v>
      </c>
      <c r="R367" s="6" t="s">
        <v>465</v>
      </c>
    </row>
    <row r="368" spans="1:18" ht="33.950000000000003" customHeight="1" x14ac:dyDescent="0.25">
      <c r="A368" s="10">
        <v>367</v>
      </c>
      <c r="B368" s="2" t="s">
        <v>460</v>
      </c>
      <c r="C368" s="2" t="s">
        <v>67</v>
      </c>
      <c r="D368" s="2" t="s">
        <v>448</v>
      </c>
      <c r="E368" s="2" t="s">
        <v>162</v>
      </c>
      <c r="F368" s="10">
        <v>4</v>
      </c>
      <c r="G368" s="2" t="s">
        <v>27</v>
      </c>
      <c r="H368" s="7" t="str">
        <f>HYPERLINK("mapany/outputs/custom_statue_scen_3/reconstruction.glb","mapany/outputs/custom_statue_scen_3/reconstruction.glb")</f>
        <v>mapany/outputs/custom_statue_scen_3/reconstruction.glb</v>
      </c>
      <c r="I368" s="6" t="s">
        <v>461</v>
      </c>
      <c r="J368" s="3" t="s">
        <v>25</v>
      </c>
      <c r="K368" s="3">
        <v>3</v>
      </c>
      <c r="L368" s="3">
        <v>2</v>
      </c>
      <c r="M368" s="3">
        <v>1</v>
      </c>
      <c r="N368" s="3">
        <v>2</v>
      </c>
      <c r="O368" s="4">
        <f t="shared" si="10"/>
        <v>8</v>
      </c>
      <c r="P368" s="3"/>
      <c r="Q368" s="6" t="str">
        <f t="shared" si="11"/>
        <v>OK</v>
      </c>
      <c r="R368" s="6" t="s">
        <v>462</v>
      </c>
    </row>
    <row r="369" spans="1:18" ht="33.950000000000003" customHeight="1" x14ac:dyDescent="0.25">
      <c r="A369" s="10">
        <v>368</v>
      </c>
      <c r="B369" s="2" t="s">
        <v>463</v>
      </c>
      <c r="C369" s="2" t="s">
        <v>20</v>
      </c>
      <c r="D369" s="2" t="s">
        <v>448</v>
      </c>
      <c r="E369" s="2" t="s">
        <v>162</v>
      </c>
      <c r="F369" s="10">
        <v>4</v>
      </c>
      <c r="G369" s="2" t="s">
        <v>27</v>
      </c>
      <c r="H369" s="7" t="str">
        <f>HYPERLINK("mapany/outputs/eth3d_statue_scen_3/reconstruction.glb","mapany/outputs/eth3d_statue_scen_3/reconstruction.glb")</f>
        <v>mapany/outputs/eth3d_statue_scen_3/reconstruction.glb</v>
      </c>
      <c r="I369" s="6" t="s">
        <v>464</v>
      </c>
      <c r="J369" s="3" t="s">
        <v>25</v>
      </c>
      <c r="K369" s="3">
        <v>2</v>
      </c>
      <c r="L369" s="3">
        <v>1</v>
      </c>
      <c r="M369" s="3">
        <v>1</v>
      </c>
      <c r="N369" s="3">
        <v>2</v>
      </c>
      <c r="O369" s="4">
        <f t="shared" si="10"/>
        <v>6</v>
      </c>
      <c r="P369" s="3"/>
      <c r="Q369" s="6" t="str">
        <f t="shared" si="11"/>
        <v>OK</v>
      </c>
      <c r="R369" s="6" t="s">
        <v>465</v>
      </c>
    </row>
    <row r="370" spans="1:18" ht="33.950000000000003" customHeight="1" x14ac:dyDescent="0.25">
      <c r="A370" s="10">
        <v>369</v>
      </c>
      <c r="B370" s="2" t="s">
        <v>466</v>
      </c>
      <c r="C370" s="2" t="s">
        <v>67</v>
      </c>
      <c r="D370" s="2" t="s">
        <v>448</v>
      </c>
      <c r="E370" s="2" t="s">
        <v>162</v>
      </c>
      <c r="F370" s="10">
        <v>8</v>
      </c>
      <c r="G370" s="2" t="s">
        <v>23</v>
      </c>
      <c r="H370" s="7" t="str">
        <f>HYPERLINK("vggt/outputs/custom_statue_scen_4/reconstruction.glb","vggt/outputs/custom_statue_scen_4/reconstruction.glb")</f>
        <v>vggt/outputs/custom_statue_scen_4/reconstruction.glb</v>
      </c>
      <c r="I370" s="6" t="s">
        <v>467</v>
      </c>
      <c r="J370" s="3" t="s">
        <v>25</v>
      </c>
      <c r="K370" s="3">
        <v>1</v>
      </c>
      <c r="L370" s="3">
        <v>1</v>
      </c>
      <c r="M370" s="3">
        <v>3</v>
      </c>
      <c r="N370" s="3">
        <v>1</v>
      </c>
      <c r="O370" s="4">
        <f t="shared" si="10"/>
        <v>6</v>
      </c>
      <c r="P370" s="3"/>
      <c r="Q370" s="6" t="str">
        <f t="shared" si="11"/>
        <v>OK</v>
      </c>
      <c r="R370" s="6" t="s">
        <v>468</v>
      </c>
    </row>
    <row r="371" spans="1:18" ht="33.950000000000003" customHeight="1" x14ac:dyDescent="0.25">
      <c r="A371" s="10">
        <v>370</v>
      </c>
      <c r="B371" s="2" t="s">
        <v>469</v>
      </c>
      <c r="C371" s="2" t="s">
        <v>20</v>
      </c>
      <c r="D371" s="2" t="s">
        <v>448</v>
      </c>
      <c r="E371" s="2" t="s">
        <v>162</v>
      </c>
      <c r="F371" s="10">
        <v>8</v>
      </c>
      <c r="G371" s="2" t="s">
        <v>23</v>
      </c>
      <c r="H371" s="7" t="str">
        <f>HYPERLINK("vggt/outputs/eth3d_statue_scen_4/reconstruction.glb","vggt/outputs/eth3d_statue_scen_4/reconstruction.glb")</f>
        <v>vggt/outputs/eth3d_statue_scen_4/reconstruction.glb</v>
      </c>
      <c r="I371" s="6" t="s">
        <v>470</v>
      </c>
      <c r="J371" s="3" t="s">
        <v>25</v>
      </c>
      <c r="K371" s="3">
        <v>2</v>
      </c>
      <c r="L371" s="3">
        <v>0</v>
      </c>
      <c r="M371" s="3">
        <v>0</v>
      </c>
      <c r="N371" s="3">
        <v>1</v>
      </c>
      <c r="O371" s="4">
        <f t="shared" si="10"/>
        <v>3</v>
      </c>
      <c r="P371" s="3"/>
      <c r="Q371" s="6" t="str">
        <f t="shared" si="11"/>
        <v>OK</v>
      </c>
      <c r="R371" s="6" t="s">
        <v>471</v>
      </c>
    </row>
    <row r="372" spans="1:18" ht="33.950000000000003" customHeight="1" x14ac:dyDescent="0.25">
      <c r="A372" s="10">
        <v>371</v>
      </c>
      <c r="B372" s="2" t="s">
        <v>466</v>
      </c>
      <c r="C372" s="2" t="s">
        <v>67</v>
      </c>
      <c r="D372" s="2" t="s">
        <v>448</v>
      </c>
      <c r="E372" s="2" t="s">
        <v>162</v>
      </c>
      <c r="F372" s="10">
        <v>8</v>
      </c>
      <c r="G372" s="2" t="s">
        <v>31</v>
      </c>
      <c r="H372" s="7" t="str">
        <f>HYPERLINK("mast3r/outputs/custom_statue_scen_4/reconstruction.glb","mast3r/outputs/custom_statue_scen_4/reconstruction.glb")</f>
        <v>mast3r/outputs/custom_statue_scen_4/reconstruction.glb</v>
      </c>
      <c r="I372" s="6" t="s">
        <v>467</v>
      </c>
      <c r="J372" s="3" t="s">
        <v>25</v>
      </c>
      <c r="K372" s="3">
        <v>2</v>
      </c>
      <c r="L372" s="3">
        <v>2</v>
      </c>
      <c r="M372" s="3">
        <v>1</v>
      </c>
      <c r="N372" s="3">
        <v>2</v>
      </c>
      <c r="O372" s="4">
        <f t="shared" si="10"/>
        <v>7</v>
      </c>
      <c r="P372" s="3"/>
      <c r="Q372" s="6" t="str">
        <f t="shared" si="11"/>
        <v>OK</v>
      </c>
      <c r="R372" s="6" t="s">
        <v>468</v>
      </c>
    </row>
    <row r="373" spans="1:18" ht="33.950000000000003" customHeight="1" x14ac:dyDescent="0.25">
      <c r="A373" s="10">
        <v>372</v>
      </c>
      <c r="B373" s="2" t="s">
        <v>469</v>
      </c>
      <c r="C373" s="2" t="s">
        <v>20</v>
      </c>
      <c r="D373" s="2" t="s">
        <v>448</v>
      </c>
      <c r="E373" s="2" t="s">
        <v>162</v>
      </c>
      <c r="F373" s="10">
        <v>8</v>
      </c>
      <c r="G373" s="2" t="s">
        <v>31</v>
      </c>
      <c r="H373" s="7" t="str">
        <f>HYPERLINK("mast3r/outputs/eth3d_statue_scen_4/reconstruction.glb","mast3r/outputs/eth3d_statue_scen_4/reconstruction.glb")</f>
        <v>mast3r/outputs/eth3d_statue_scen_4/reconstruction.glb</v>
      </c>
      <c r="I373" s="6" t="s">
        <v>470</v>
      </c>
      <c r="J373" s="3" t="s">
        <v>25</v>
      </c>
      <c r="K373" s="3">
        <v>2</v>
      </c>
      <c r="L373" s="3">
        <v>2</v>
      </c>
      <c r="M373" s="3">
        <v>2</v>
      </c>
      <c r="N373" s="3">
        <v>2</v>
      </c>
      <c r="O373" s="4">
        <f t="shared" si="10"/>
        <v>8</v>
      </c>
      <c r="P373" s="3"/>
      <c r="Q373" s="6" t="str">
        <f t="shared" si="11"/>
        <v>OK</v>
      </c>
      <c r="R373" s="6" t="s">
        <v>471</v>
      </c>
    </row>
    <row r="374" spans="1:18" ht="33.950000000000003" customHeight="1" x14ac:dyDescent="0.25">
      <c r="A374" s="10">
        <v>373</v>
      </c>
      <c r="B374" s="2" t="s">
        <v>466</v>
      </c>
      <c r="C374" s="2" t="s">
        <v>67</v>
      </c>
      <c r="D374" s="2" t="s">
        <v>448</v>
      </c>
      <c r="E374" s="2" t="s">
        <v>162</v>
      </c>
      <c r="F374" s="10">
        <v>8</v>
      </c>
      <c r="G374" s="2" t="s">
        <v>27</v>
      </c>
      <c r="H374" s="7" t="str">
        <f>HYPERLINK("mapany/outputs/custom_statue_scen_4/reconstruction.glb","mapany/outputs/custom_statue_scen_4/reconstruction.glb")</f>
        <v>mapany/outputs/custom_statue_scen_4/reconstruction.glb</v>
      </c>
      <c r="I374" s="6" t="s">
        <v>467</v>
      </c>
      <c r="J374" s="3" t="s">
        <v>25</v>
      </c>
      <c r="K374" s="3">
        <v>3</v>
      </c>
      <c r="L374" s="3">
        <v>1</v>
      </c>
      <c r="M374" s="3">
        <v>1</v>
      </c>
      <c r="N374" s="3">
        <v>2</v>
      </c>
      <c r="O374" s="4">
        <f t="shared" si="10"/>
        <v>7</v>
      </c>
      <c r="P374" s="3"/>
      <c r="Q374" s="6" t="str">
        <f t="shared" si="11"/>
        <v>OK</v>
      </c>
      <c r="R374" s="6" t="s">
        <v>468</v>
      </c>
    </row>
    <row r="375" spans="1:18" ht="33.950000000000003" customHeight="1" x14ac:dyDescent="0.25">
      <c r="A375" s="10">
        <v>374</v>
      </c>
      <c r="B375" s="2" t="s">
        <v>469</v>
      </c>
      <c r="C375" s="2" t="s">
        <v>20</v>
      </c>
      <c r="D375" s="2" t="s">
        <v>448</v>
      </c>
      <c r="E375" s="2" t="s">
        <v>162</v>
      </c>
      <c r="F375" s="10">
        <v>8</v>
      </c>
      <c r="G375" s="2" t="s">
        <v>27</v>
      </c>
      <c r="H375" s="7" t="str">
        <f>HYPERLINK("mapany/outputs/eth3d_statue_scen_4/reconstruction.glb","mapany/outputs/eth3d_statue_scen_4/reconstruction.glb")</f>
        <v>mapany/outputs/eth3d_statue_scen_4/reconstruction.glb</v>
      </c>
      <c r="I375" s="6" t="s">
        <v>470</v>
      </c>
      <c r="J375" s="3" t="s">
        <v>25</v>
      </c>
      <c r="K375" s="3">
        <v>2</v>
      </c>
      <c r="L375" s="3">
        <v>1</v>
      </c>
      <c r="M375" s="3">
        <v>3</v>
      </c>
      <c r="N375" s="3">
        <v>2</v>
      </c>
      <c r="O375" s="4">
        <f t="shared" si="10"/>
        <v>8</v>
      </c>
      <c r="P375" s="3"/>
      <c r="Q375" s="6" t="str">
        <f t="shared" si="11"/>
        <v>OK</v>
      </c>
      <c r="R375" s="6" t="s">
        <v>471</v>
      </c>
    </row>
    <row r="376" spans="1:18" ht="33.950000000000003" customHeight="1" x14ac:dyDescent="0.25">
      <c r="A376" s="10">
        <v>375</v>
      </c>
      <c r="B376" s="2" t="s">
        <v>472</v>
      </c>
      <c r="C376" s="2" t="s">
        <v>67</v>
      </c>
      <c r="D376" s="2" t="s">
        <v>473</v>
      </c>
      <c r="E376" s="2" t="s">
        <v>40</v>
      </c>
      <c r="F376" s="10">
        <v>1</v>
      </c>
      <c r="G376" s="2" t="s">
        <v>23</v>
      </c>
      <c r="H376" s="7" t="str">
        <f>HYPERLINK("vggt/outputs/custom_synagogue_scen_1/reconstruction.glb","vggt/outputs/custom_synagogue_scen_1/reconstruction.glb")</f>
        <v>vggt/outputs/custom_synagogue_scen_1/reconstruction.glb</v>
      </c>
      <c r="I376" s="6" t="s">
        <v>474</v>
      </c>
      <c r="J376" s="3" t="s">
        <v>25</v>
      </c>
      <c r="K376" s="3">
        <v>1</v>
      </c>
      <c r="L376" s="3">
        <v>2</v>
      </c>
      <c r="M376" s="3">
        <v>3</v>
      </c>
      <c r="N376" s="3">
        <v>2</v>
      </c>
      <c r="O376" s="4">
        <f t="shared" si="10"/>
        <v>8</v>
      </c>
      <c r="P376" s="3"/>
      <c r="Q376" s="6" t="str">
        <f t="shared" si="11"/>
        <v>OK</v>
      </c>
      <c r="R376" s="6" t="s">
        <v>475</v>
      </c>
    </row>
    <row r="377" spans="1:18" ht="33.950000000000003" customHeight="1" x14ac:dyDescent="0.25">
      <c r="A377" s="10">
        <v>376</v>
      </c>
      <c r="B377" s="2" t="s">
        <v>472</v>
      </c>
      <c r="C377" s="2" t="s">
        <v>67</v>
      </c>
      <c r="D377" s="2" t="s">
        <v>473</v>
      </c>
      <c r="E377" s="2" t="s">
        <v>40</v>
      </c>
      <c r="F377" s="10">
        <v>1</v>
      </c>
      <c r="G377" s="2" t="s">
        <v>27</v>
      </c>
      <c r="H377" s="7" t="str">
        <f>HYPERLINK("mapany/outputs/custom_synagogue_scen_1/reconstruction.glb","mapany/outputs/custom_synagogue_scen_1/reconstruction.glb")</f>
        <v>mapany/outputs/custom_synagogue_scen_1/reconstruction.glb</v>
      </c>
      <c r="I377" s="6" t="s">
        <v>474</v>
      </c>
      <c r="J377" s="3" t="s">
        <v>25</v>
      </c>
      <c r="K377" s="3">
        <v>1</v>
      </c>
      <c r="L377" s="3">
        <v>1</v>
      </c>
      <c r="M377" s="3">
        <v>3</v>
      </c>
      <c r="N377" s="3">
        <v>2</v>
      </c>
      <c r="O377" s="4">
        <f t="shared" si="10"/>
        <v>7</v>
      </c>
      <c r="P377" s="3"/>
      <c r="Q377" s="6" t="str">
        <f t="shared" si="11"/>
        <v>OK</v>
      </c>
      <c r="R377" s="6" t="s">
        <v>475</v>
      </c>
    </row>
    <row r="378" spans="1:18" ht="33.950000000000003" customHeight="1" x14ac:dyDescent="0.25">
      <c r="A378" s="10">
        <v>377</v>
      </c>
      <c r="B378" s="2" t="s">
        <v>476</v>
      </c>
      <c r="C378" s="2" t="s">
        <v>67</v>
      </c>
      <c r="D378" s="2" t="s">
        <v>473</v>
      </c>
      <c r="E378" s="2" t="s">
        <v>40</v>
      </c>
      <c r="F378" s="10">
        <v>2</v>
      </c>
      <c r="G378" s="2" t="s">
        <v>23</v>
      </c>
      <c r="H378" s="7" t="str">
        <f>HYPERLINK("vggt/outputs/custom_synagogue_scen_2/reconstruction.glb","vggt/outputs/custom_synagogue_scen_2/reconstruction.glb")</f>
        <v>vggt/outputs/custom_synagogue_scen_2/reconstruction.glb</v>
      </c>
      <c r="I378" s="6" t="s">
        <v>477</v>
      </c>
      <c r="J378" s="3" t="s">
        <v>25</v>
      </c>
      <c r="K378" s="3">
        <v>1</v>
      </c>
      <c r="L378" s="3">
        <v>2</v>
      </c>
      <c r="M378" s="3">
        <v>3</v>
      </c>
      <c r="N378" s="3">
        <v>2</v>
      </c>
      <c r="O378" s="4">
        <f t="shared" si="10"/>
        <v>8</v>
      </c>
      <c r="P378" s="3"/>
      <c r="Q378" s="6" t="str">
        <f t="shared" si="11"/>
        <v>OK</v>
      </c>
      <c r="R378" s="6" t="s">
        <v>478</v>
      </c>
    </row>
    <row r="379" spans="1:18" ht="33.950000000000003" customHeight="1" x14ac:dyDescent="0.25">
      <c r="A379" s="10">
        <v>378</v>
      </c>
      <c r="B379" s="2" t="s">
        <v>476</v>
      </c>
      <c r="C379" s="2" t="s">
        <v>67</v>
      </c>
      <c r="D379" s="2" t="s">
        <v>473</v>
      </c>
      <c r="E379" s="2" t="s">
        <v>40</v>
      </c>
      <c r="F379" s="10">
        <v>2</v>
      </c>
      <c r="G379" s="2" t="s">
        <v>31</v>
      </c>
      <c r="H379" s="7" t="str">
        <f>HYPERLINK("mast3r/outputs/custom_synagogue_scen_2/reconstruction.glb","mast3r/outputs/custom_synagogue_scen_2/reconstruction.glb")</f>
        <v>mast3r/outputs/custom_synagogue_scen_2/reconstruction.glb</v>
      </c>
      <c r="I379" s="6" t="s">
        <v>477</v>
      </c>
      <c r="J379" s="3" t="s">
        <v>25</v>
      </c>
      <c r="K379" s="3">
        <v>1</v>
      </c>
      <c r="L379" s="3">
        <v>1</v>
      </c>
      <c r="M379" s="3">
        <v>2</v>
      </c>
      <c r="N379" s="3">
        <v>2</v>
      </c>
      <c r="O379" s="4">
        <f t="shared" si="10"/>
        <v>6</v>
      </c>
      <c r="P379" s="3"/>
      <c r="Q379" s="6" t="str">
        <f t="shared" si="11"/>
        <v>OK</v>
      </c>
      <c r="R379" s="6" t="s">
        <v>478</v>
      </c>
    </row>
    <row r="380" spans="1:18" ht="33.950000000000003" customHeight="1" x14ac:dyDescent="0.25">
      <c r="A380" s="10">
        <v>379</v>
      </c>
      <c r="B380" s="2" t="s">
        <v>476</v>
      </c>
      <c r="C380" s="2" t="s">
        <v>67</v>
      </c>
      <c r="D380" s="2" t="s">
        <v>473</v>
      </c>
      <c r="E380" s="2" t="s">
        <v>40</v>
      </c>
      <c r="F380" s="10">
        <v>2</v>
      </c>
      <c r="G380" s="2" t="s">
        <v>27</v>
      </c>
      <c r="H380" s="7" t="str">
        <f>HYPERLINK("mapany/outputs/custom_synagogue_scen_2/reconstruction.glb","mapany/outputs/custom_synagogue_scen_2/reconstruction.glb")</f>
        <v>mapany/outputs/custom_synagogue_scen_2/reconstruction.glb</v>
      </c>
      <c r="I380" s="6" t="s">
        <v>477</v>
      </c>
      <c r="J380" s="3" t="s">
        <v>25</v>
      </c>
      <c r="K380" s="3">
        <v>1</v>
      </c>
      <c r="L380" s="3">
        <v>1</v>
      </c>
      <c r="M380" s="3">
        <v>2</v>
      </c>
      <c r="N380" s="3">
        <v>2</v>
      </c>
      <c r="O380" s="4">
        <f t="shared" si="10"/>
        <v>6</v>
      </c>
      <c r="P380" s="3"/>
      <c r="Q380" s="6" t="str">
        <f t="shared" si="11"/>
        <v>OK</v>
      </c>
      <c r="R380" s="6" t="s">
        <v>478</v>
      </c>
    </row>
    <row r="381" spans="1:18" ht="33.950000000000003" customHeight="1" x14ac:dyDescent="0.25">
      <c r="A381" s="10">
        <v>380</v>
      </c>
      <c r="B381" s="2" t="s">
        <v>479</v>
      </c>
      <c r="C381" s="2" t="s">
        <v>67</v>
      </c>
      <c r="D381" s="2" t="s">
        <v>473</v>
      </c>
      <c r="E381" s="2" t="s">
        <v>40</v>
      </c>
      <c r="F381" s="10">
        <v>4</v>
      </c>
      <c r="G381" s="2" t="s">
        <v>23</v>
      </c>
      <c r="H381" s="7" t="str">
        <f>HYPERLINK("vggt/outputs/custom_synagogue_scen_3/reconstruction.glb","vggt/outputs/custom_synagogue_scen_3/reconstruction.glb")</f>
        <v>vggt/outputs/custom_synagogue_scen_3/reconstruction.glb</v>
      </c>
      <c r="I381" s="6" t="s">
        <v>480</v>
      </c>
      <c r="J381" s="3" t="s">
        <v>25</v>
      </c>
      <c r="K381" s="3">
        <v>1</v>
      </c>
      <c r="L381" s="3">
        <v>2</v>
      </c>
      <c r="M381" s="3">
        <v>3</v>
      </c>
      <c r="N381" s="3">
        <v>2</v>
      </c>
      <c r="O381" s="4">
        <f t="shared" si="10"/>
        <v>8</v>
      </c>
      <c r="P381" s="3"/>
      <c r="Q381" s="6" t="str">
        <f t="shared" si="11"/>
        <v>OK</v>
      </c>
      <c r="R381" s="6" t="s">
        <v>481</v>
      </c>
    </row>
    <row r="382" spans="1:18" ht="33.950000000000003" customHeight="1" x14ac:dyDescent="0.25">
      <c r="A382" s="10">
        <v>381</v>
      </c>
      <c r="B382" s="2" t="s">
        <v>479</v>
      </c>
      <c r="C382" s="2" t="s">
        <v>67</v>
      </c>
      <c r="D382" s="2" t="s">
        <v>473</v>
      </c>
      <c r="E382" s="2" t="s">
        <v>40</v>
      </c>
      <c r="F382" s="10">
        <v>4</v>
      </c>
      <c r="G382" s="2" t="s">
        <v>31</v>
      </c>
      <c r="H382" s="7" t="str">
        <f>HYPERLINK("mast3r/outputs/custom_synagogue_scen_3/reconstruction.glb","mast3r/outputs/custom_synagogue_scen_3/reconstruction.glb")</f>
        <v>mast3r/outputs/custom_synagogue_scen_3/reconstruction.glb</v>
      </c>
      <c r="I382" s="6" t="s">
        <v>480</v>
      </c>
      <c r="J382" s="3" t="s">
        <v>25</v>
      </c>
      <c r="K382" s="3">
        <v>2</v>
      </c>
      <c r="L382" s="3">
        <v>1</v>
      </c>
      <c r="M382" s="3">
        <v>2</v>
      </c>
      <c r="N382" s="3">
        <v>2</v>
      </c>
      <c r="O382" s="4">
        <f t="shared" si="10"/>
        <v>7</v>
      </c>
      <c r="P382" s="3"/>
      <c r="Q382" s="6" t="str">
        <f t="shared" si="11"/>
        <v>OK</v>
      </c>
      <c r="R382" s="6" t="s">
        <v>481</v>
      </c>
    </row>
    <row r="383" spans="1:18" ht="33.950000000000003" customHeight="1" x14ac:dyDescent="0.25">
      <c r="A383" s="10">
        <v>382</v>
      </c>
      <c r="B383" s="2" t="s">
        <v>479</v>
      </c>
      <c r="C383" s="2" t="s">
        <v>67</v>
      </c>
      <c r="D383" s="2" t="s">
        <v>473</v>
      </c>
      <c r="E383" s="2" t="s">
        <v>40</v>
      </c>
      <c r="F383" s="10">
        <v>4</v>
      </c>
      <c r="G383" s="2" t="s">
        <v>27</v>
      </c>
      <c r="H383" s="7" t="str">
        <f>HYPERLINK("mapany/outputs/custom_synagogue_scen_3/reconstruction.glb","mapany/outputs/custom_synagogue_scen_3/reconstruction.glb")</f>
        <v>mapany/outputs/custom_synagogue_scen_3/reconstruction.glb</v>
      </c>
      <c r="I383" s="6" t="s">
        <v>480</v>
      </c>
      <c r="J383" s="3" t="s">
        <v>25</v>
      </c>
      <c r="K383" s="3">
        <v>1</v>
      </c>
      <c r="L383" s="3">
        <v>1</v>
      </c>
      <c r="M383" s="3">
        <v>2</v>
      </c>
      <c r="N383" s="3">
        <v>2</v>
      </c>
      <c r="O383" s="4">
        <f t="shared" si="10"/>
        <v>6</v>
      </c>
      <c r="P383" s="3"/>
      <c r="Q383" s="6" t="str">
        <f t="shared" si="11"/>
        <v>OK</v>
      </c>
      <c r="R383" s="6" t="s">
        <v>481</v>
      </c>
    </row>
    <row r="384" spans="1:18" ht="33.950000000000003" customHeight="1" x14ac:dyDescent="0.25">
      <c r="A384" s="10">
        <v>383</v>
      </c>
      <c r="B384" s="2" t="s">
        <v>482</v>
      </c>
      <c r="C384" s="2" t="s">
        <v>67</v>
      </c>
      <c r="D384" s="2" t="s">
        <v>473</v>
      </c>
      <c r="E384" s="2" t="s">
        <v>40</v>
      </c>
      <c r="F384" s="10">
        <v>8</v>
      </c>
      <c r="G384" s="2" t="s">
        <v>23</v>
      </c>
      <c r="H384" s="7" t="str">
        <f>HYPERLINK("vggt/outputs/custom_synagogue_scen_4/reconstruction.glb","vggt/outputs/custom_synagogue_scen_4/reconstruction.glb")</f>
        <v>vggt/outputs/custom_synagogue_scen_4/reconstruction.glb</v>
      </c>
      <c r="I384" s="6" t="s">
        <v>483</v>
      </c>
      <c r="J384" s="3" t="s">
        <v>25</v>
      </c>
      <c r="K384" s="3">
        <v>1</v>
      </c>
      <c r="L384" s="3">
        <v>2</v>
      </c>
      <c r="M384" s="3">
        <v>3</v>
      </c>
      <c r="N384" s="3">
        <v>2</v>
      </c>
      <c r="O384" s="4">
        <f t="shared" si="10"/>
        <v>8</v>
      </c>
      <c r="P384" s="3"/>
      <c r="Q384" s="6" t="str">
        <f t="shared" si="11"/>
        <v>OK</v>
      </c>
      <c r="R384" s="6" t="s">
        <v>484</v>
      </c>
    </row>
    <row r="385" spans="1:18" ht="33.950000000000003" customHeight="1" x14ac:dyDescent="0.25">
      <c r="A385" s="10">
        <v>384</v>
      </c>
      <c r="B385" s="2" t="s">
        <v>482</v>
      </c>
      <c r="C385" s="2" t="s">
        <v>67</v>
      </c>
      <c r="D385" s="2" t="s">
        <v>473</v>
      </c>
      <c r="E385" s="2" t="s">
        <v>40</v>
      </c>
      <c r="F385" s="10">
        <v>8</v>
      </c>
      <c r="G385" s="2" t="s">
        <v>31</v>
      </c>
      <c r="H385" s="7" t="str">
        <f>HYPERLINK("mast3r/outputs/custom_synagogue_scen_4/reconstruction.glb","mast3r/outputs/custom_synagogue_scen_4/reconstruction.glb")</f>
        <v>mast3r/outputs/custom_synagogue_scen_4/reconstruction.glb</v>
      </c>
      <c r="I385" s="6" t="s">
        <v>483</v>
      </c>
      <c r="J385" s="3" t="s">
        <v>25</v>
      </c>
      <c r="K385" s="3">
        <v>2</v>
      </c>
      <c r="L385" s="3">
        <v>1</v>
      </c>
      <c r="M385" s="3">
        <v>2</v>
      </c>
      <c r="N385" s="3">
        <v>2</v>
      </c>
      <c r="O385" s="4">
        <f t="shared" si="10"/>
        <v>7</v>
      </c>
      <c r="P385" s="3"/>
      <c r="Q385" s="6" t="str">
        <f t="shared" si="11"/>
        <v>OK</v>
      </c>
      <c r="R385" s="6" t="s">
        <v>484</v>
      </c>
    </row>
    <row r="386" spans="1:18" ht="33.950000000000003" customHeight="1" x14ac:dyDescent="0.25">
      <c r="A386" s="10">
        <v>385</v>
      </c>
      <c r="B386" s="2" t="s">
        <v>482</v>
      </c>
      <c r="C386" s="2" t="s">
        <v>67</v>
      </c>
      <c r="D386" s="2" t="s">
        <v>473</v>
      </c>
      <c r="E386" s="2" t="s">
        <v>40</v>
      </c>
      <c r="F386" s="10">
        <v>8</v>
      </c>
      <c r="G386" s="2" t="s">
        <v>27</v>
      </c>
      <c r="H386" s="7" t="str">
        <f>HYPERLINK("mapany/outputs/custom_synagogue_scen_4/reconstruction.glb","mapany/outputs/custom_synagogue_scen_4/reconstruction.glb")</f>
        <v>mapany/outputs/custom_synagogue_scen_4/reconstruction.glb</v>
      </c>
      <c r="I386" s="6" t="s">
        <v>483</v>
      </c>
      <c r="J386" s="3" t="s">
        <v>25</v>
      </c>
      <c r="K386" s="3">
        <v>1</v>
      </c>
      <c r="L386" s="3">
        <v>1</v>
      </c>
      <c r="M386" s="3">
        <v>2</v>
      </c>
      <c r="N386" s="3">
        <v>2</v>
      </c>
      <c r="O386" s="4">
        <f t="shared" ref="O386:O419" si="12">IF($J386="Niepowodzenie rekonstrukcji",0,IF(COUNT($K386:$N386)=4,SUM($K386:$N386),""))</f>
        <v>6</v>
      </c>
      <c r="P386" s="3"/>
      <c r="Q386" s="6" t="str">
        <f t="shared" ref="Q386:Q419" si="13">IF($J386="Niepowodzenie rekonstrukcji",IF(COUNTIF($K386:$N386,0)=4,"OK","Ustaw C, G, A, D = 0"),IF(COUNT($K386:$N386)=0,"Nieoceniony",IF(COUNT($K386:$N386)=4,"OK","Uzupełnij oceny")))</f>
        <v>OK</v>
      </c>
      <c r="R386" s="6" t="s">
        <v>484</v>
      </c>
    </row>
    <row r="387" spans="1:18" ht="33.950000000000003" customHeight="1" x14ac:dyDescent="0.25">
      <c r="A387" s="10">
        <v>386</v>
      </c>
      <c r="B387" s="2" t="s">
        <v>485</v>
      </c>
      <c r="C387" s="2" t="s">
        <v>67</v>
      </c>
      <c r="D387" s="2" t="s">
        <v>486</v>
      </c>
      <c r="E387" s="2" t="s">
        <v>162</v>
      </c>
      <c r="F387" s="10">
        <v>1</v>
      </c>
      <c r="G387" s="2" t="s">
        <v>23</v>
      </c>
      <c r="H387" s="7" t="str">
        <f>HYPERLINK("vggt/outputs/custom_tennis_table_scen_1/reconstruction.glb","vggt/outputs/custom_tennis_table_scen_1/reconstruction.glb")</f>
        <v>vggt/outputs/custom_tennis_table_scen_1/reconstruction.glb</v>
      </c>
      <c r="I387" s="6" t="s">
        <v>487</v>
      </c>
      <c r="J387" s="3" t="s">
        <v>25</v>
      </c>
      <c r="K387" s="3">
        <v>1</v>
      </c>
      <c r="L387" s="3">
        <v>1</v>
      </c>
      <c r="M387" s="3">
        <v>3</v>
      </c>
      <c r="N387" s="3">
        <v>1</v>
      </c>
      <c r="O387" s="4">
        <f t="shared" si="12"/>
        <v>6</v>
      </c>
      <c r="P387" s="3"/>
      <c r="Q387" s="6" t="str">
        <f t="shared" si="13"/>
        <v>OK</v>
      </c>
      <c r="R387" s="6" t="s">
        <v>488</v>
      </c>
    </row>
    <row r="388" spans="1:18" ht="33.950000000000003" customHeight="1" x14ac:dyDescent="0.25">
      <c r="A388" s="10">
        <v>387</v>
      </c>
      <c r="B388" s="2" t="s">
        <v>485</v>
      </c>
      <c r="C388" s="2" t="s">
        <v>67</v>
      </c>
      <c r="D388" s="2" t="s">
        <v>486</v>
      </c>
      <c r="E388" s="2" t="s">
        <v>162</v>
      </c>
      <c r="F388" s="10">
        <v>1</v>
      </c>
      <c r="G388" s="2" t="s">
        <v>27</v>
      </c>
      <c r="H388" s="7" t="str">
        <f>HYPERLINK("mapany/outputs/custom_tennis_table_scen_1/reconstruction.glb","mapany/outputs/custom_tennis_table_scen_1/reconstruction.glb")</f>
        <v>mapany/outputs/custom_tennis_table_scen_1/reconstruction.glb</v>
      </c>
      <c r="I388" s="6" t="s">
        <v>487</v>
      </c>
      <c r="J388" s="3" t="s">
        <v>25</v>
      </c>
      <c r="K388" s="3">
        <v>2</v>
      </c>
      <c r="L388" s="3">
        <v>2</v>
      </c>
      <c r="M388" s="3">
        <v>1</v>
      </c>
      <c r="N388" s="3">
        <v>2</v>
      </c>
      <c r="O388" s="4">
        <f t="shared" si="12"/>
        <v>7</v>
      </c>
      <c r="P388" s="3"/>
      <c r="Q388" s="6" t="str">
        <f t="shared" si="13"/>
        <v>OK</v>
      </c>
      <c r="R388" s="6" t="s">
        <v>488</v>
      </c>
    </row>
    <row r="389" spans="1:18" ht="33.950000000000003" customHeight="1" x14ac:dyDescent="0.25">
      <c r="A389" s="10">
        <v>388</v>
      </c>
      <c r="B389" s="2" t="s">
        <v>489</v>
      </c>
      <c r="C389" s="2" t="s">
        <v>67</v>
      </c>
      <c r="D389" s="2" t="s">
        <v>486</v>
      </c>
      <c r="E389" s="2" t="s">
        <v>162</v>
      </c>
      <c r="F389" s="10">
        <v>2</v>
      </c>
      <c r="G389" s="2" t="s">
        <v>23</v>
      </c>
      <c r="H389" s="7" t="str">
        <f>HYPERLINK("vggt/outputs/custom_tennis_table_scen_2/reconstruction.glb","vggt/outputs/custom_tennis_table_scen_2/reconstruction.glb")</f>
        <v>vggt/outputs/custom_tennis_table_scen_2/reconstruction.glb</v>
      </c>
      <c r="I389" s="6" t="s">
        <v>490</v>
      </c>
      <c r="J389" s="3" t="s">
        <v>25</v>
      </c>
      <c r="K389" s="3">
        <v>1</v>
      </c>
      <c r="L389" s="3">
        <v>1</v>
      </c>
      <c r="M389" s="3">
        <v>3</v>
      </c>
      <c r="N389" s="3">
        <v>1</v>
      </c>
      <c r="O389" s="4">
        <f t="shared" si="12"/>
        <v>6</v>
      </c>
      <c r="P389" s="3"/>
      <c r="Q389" s="6" t="str">
        <f t="shared" si="13"/>
        <v>OK</v>
      </c>
      <c r="R389" s="6" t="s">
        <v>491</v>
      </c>
    </row>
    <row r="390" spans="1:18" ht="33.950000000000003" customHeight="1" x14ac:dyDescent="0.25">
      <c r="A390" s="10">
        <v>389</v>
      </c>
      <c r="B390" s="2" t="s">
        <v>489</v>
      </c>
      <c r="C390" s="2" t="s">
        <v>67</v>
      </c>
      <c r="D390" s="2" t="s">
        <v>486</v>
      </c>
      <c r="E390" s="2" t="s">
        <v>162</v>
      </c>
      <c r="F390" s="10">
        <v>2</v>
      </c>
      <c r="G390" s="2" t="s">
        <v>31</v>
      </c>
      <c r="H390" s="7" t="str">
        <f>HYPERLINK("mast3r/outputs/custom_tennis_table_scen_2/reconstruction.glb","mast3r/outputs/custom_tennis_table_scen_2/reconstruction.glb")</f>
        <v>mast3r/outputs/custom_tennis_table_scen_2/reconstruction.glb</v>
      </c>
      <c r="I390" s="6" t="s">
        <v>490</v>
      </c>
      <c r="J390" s="3" t="s">
        <v>25</v>
      </c>
      <c r="K390" s="3">
        <v>2</v>
      </c>
      <c r="L390" s="3">
        <v>2</v>
      </c>
      <c r="M390" s="3">
        <v>2</v>
      </c>
      <c r="N390" s="3">
        <v>1</v>
      </c>
      <c r="O390" s="4">
        <f t="shared" si="12"/>
        <v>7</v>
      </c>
      <c r="P390" s="3"/>
      <c r="Q390" s="6" t="str">
        <f t="shared" si="13"/>
        <v>OK</v>
      </c>
      <c r="R390" s="6" t="s">
        <v>491</v>
      </c>
    </row>
    <row r="391" spans="1:18" ht="33.950000000000003" customHeight="1" x14ac:dyDescent="0.25">
      <c r="A391" s="10">
        <v>390</v>
      </c>
      <c r="B391" s="2" t="s">
        <v>489</v>
      </c>
      <c r="C391" s="2" t="s">
        <v>67</v>
      </c>
      <c r="D391" s="2" t="s">
        <v>486</v>
      </c>
      <c r="E391" s="2" t="s">
        <v>162</v>
      </c>
      <c r="F391" s="10">
        <v>2</v>
      </c>
      <c r="G391" s="2" t="s">
        <v>27</v>
      </c>
      <c r="H391" s="7" t="str">
        <f>HYPERLINK("mapany/outputs/custom_tennis_table_scen_2/reconstruction.glb","mapany/outputs/custom_tennis_table_scen_2/reconstruction.glb")</f>
        <v>mapany/outputs/custom_tennis_table_scen_2/reconstruction.glb</v>
      </c>
      <c r="I391" s="6" t="s">
        <v>490</v>
      </c>
      <c r="J391" s="3" t="s">
        <v>25</v>
      </c>
      <c r="K391" s="3">
        <v>2</v>
      </c>
      <c r="L391" s="3">
        <v>2</v>
      </c>
      <c r="M391" s="3">
        <v>1</v>
      </c>
      <c r="N391" s="3">
        <v>2</v>
      </c>
      <c r="O391" s="4">
        <f t="shared" si="12"/>
        <v>7</v>
      </c>
      <c r="P391" s="3"/>
      <c r="Q391" s="6" t="str">
        <f t="shared" si="13"/>
        <v>OK</v>
      </c>
      <c r="R391" s="6" t="s">
        <v>491</v>
      </c>
    </row>
    <row r="392" spans="1:18" ht="33.950000000000003" customHeight="1" x14ac:dyDescent="0.25">
      <c r="A392" s="10">
        <v>391</v>
      </c>
      <c r="B392" s="2" t="s">
        <v>492</v>
      </c>
      <c r="C392" s="2" t="s">
        <v>67</v>
      </c>
      <c r="D392" s="2" t="s">
        <v>486</v>
      </c>
      <c r="E392" s="2" t="s">
        <v>162</v>
      </c>
      <c r="F392" s="10">
        <v>4</v>
      </c>
      <c r="G392" s="2" t="s">
        <v>23</v>
      </c>
      <c r="H392" s="7" t="str">
        <f>HYPERLINK("vggt/outputs/custom_tennis_table_scen_3/reconstruction.glb","vggt/outputs/custom_tennis_table_scen_3/reconstruction.glb")</f>
        <v>vggt/outputs/custom_tennis_table_scen_3/reconstruction.glb</v>
      </c>
      <c r="I392" s="6" t="s">
        <v>493</v>
      </c>
      <c r="J392" s="3" t="s">
        <v>25</v>
      </c>
      <c r="K392" s="3">
        <v>1</v>
      </c>
      <c r="L392" s="3">
        <v>1</v>
      </c>
      <c r="M392" s="3">
        <v>3</v>
      </c>
      <c r="N392" s="3">
        <v>1</v>
      </c>
      <c r="O392" s="4">
        <f t="shared" si="12"/>
        <v>6</v>
      </c>
      <c r="P392" s="3"/>
      <c r="Q392" s="6" t="str">
        <f t="shared" si="13"/>
        <v>OK</v>
      </c>
      <c r="R392" s="6" t="s">
        <v>494</v>
      </c>
    </row>
    <row r="393" spans="1:18" ht="33.950000000000003" customHeight="1" x14ac:dyDescent="0.25">
      <c r="A393" s="10">
        <v>392</v>
      </c>
      <c r="B393" s="2" t="s">
        <v>492</v>
      </c>
      <c r="C393" s="2" t="s">
        <v>67</v>
      </c>
      <c r="D393" s="2" t="s">
        <v>486</v>
      </c>
      <c r="E393" s="2" t="s">
        <v>162</v>
      </c>
      <c r="F393" s="10">
        <v>4</v>
      </c>
      <c r="G393" s="2" t="s">
        <v>31</v>
      </c>
      <c r="H393" s="7" t="str">
        <f>HYPERLINK("mast3r/outputs/custom_tennis_table_scen_3/reconstruction.glb","mast3r/outputs/custom_tennis_table_scen_3/reconstruction.glb")</f>
        <v>mast3r/outputs/custom_tennis_table_scen_3/reconstruction.glb</v>
      </c>
      <c r="I393" s="6" t="s">
        <v>493</v>
      </c>
      <c r="J393" s="3" t="s">
        <v>25</v>
      </c>
      <c r="K393" s="3">
        <v>1</v>
      </c>
      <c r="L393" s="3">
        <v>2</v>
      </c>
      <c r="M393" s="3">
        <v>1</v>
      </c>
      <c r="N393" s="3">
        <v>2</v>
      </c>
      <c r="O393" s="4">
        <f t="shared" si="12"/>
        <v>6</v>
      </c>
      <c r="P393" s="3"/>
      <c r="Q393" s="6" t="str">
        <f t="shared" si="13"/>
        <v>OK</v>
      </c>
      <c r="R393" s="6" t="s">
        <v>494</v>
      </c>
    </row>
    <row r="394" spans="1:18" ht="33.950000000000003" customHeight="1" x14ac:dyDescent="0.25">
      <c r="A394" s="10">
        <v>393</v>
      </c>
      <c r="B394" s="2" t="s">
        <v>492</v>
      </c>
      <c r="C394" s="2" t="s">
        <v>67</v>
      </c>
      <c r="D394" s="2" t="s">
        <v>486</v>
      </c>
      <c r="E394" s="2" t="s">
        <v>162</v>
      </c>
      <c r="F394" s="10">
        <v>4</v>
      </c>
      <c r="G394" s="2" t="s">
        <v>27</v>
      </c>
      <c r="H394" s="7" t="str">
        <f>HYPERLINK("mapany/outputs/custom_tennis_table_scen_3/reconstruction.glb","mapany/outputs/custom_tennis_table_scen_3/reconstruction.glb")</f>
        <v>mapany/outputs/custom_tennis_table_scen_3/reconstruction.glb</v>
      </c>
      <c r="I394" s="6" t="s">
        <v>493</v>
      </c>
      <c r="J394" s="3" t="s">
        <v>25</v>
      </c>
      <c r="K394" s="3">
        <v>2</v>
      </c>
      <c r="L394" s="3">
        <v>2</v>
      </c>
      <c r="M394" s="3">
        <v>1</v>
      </c>
      <c r="N394" s="3">
        <v>2</v>
      </c>
      <c r="O394" s="4">
        <f t="shared" si="12"/>
        <v>7</v>
      </c>
      <c r="P394" s="3"/>
      <c r="Q394" s="6" t="str">
        <f t="shared" si="13"/>
        <v>OK</v>
      </c>
      <c r="R394" s="6" t="s">
        <v>494</v>
      </c>
    </row>
    <row r="395" spans="1:18" ht="33.950000000000003" customHeight="1" x14ac:dyDescent="0.25">
      <c r="A395" s="10">
        <v>394</v>
      </c>
      <c r="B395" s="2" t="s">
        <v>495</v>
      </c>
      <c r="C395" s="2" t="s">
        <v>67</v>
      </c>
      <c r="D395" s="2" t="s">
        <v>486</v>
      </c>
      <c r="E395" s="2" t="s">
        <v>162</v>
      </c>
      <c r="F395" s="10">
        <v>8</v>
      </c>
      <c r="G395" s="2" t="s">
        <v>23</v>
      </c>
      <c r="H395" s="7" t="str">
        <f>HYPERLINK("vggt/outputs/custom_tennis_table_scen_4/reconstruction.glb","vggt/outputs/custom_tennis_table_scen_4/reconstruction.glb")</f>
        <v>vggt/outputs/custom_tennis_table_scen_4/reconstruction.glb</v>
      </c>
      <c r="I395" s="6" t="s">
        <v>496</v>
      </c>
      <c r="J395" s="3" t="s">
        <v>25</v>
      </c>
      <c r="K395" s="3">
        <v>1</v>
      </c>
      <c r="L395" s="3">
        <v>2</v>
      </c>
      <c r="M395" s="3">
        <v>3</v>
      </c>
      <c r="N395" s="3">
        <v>1</v>
      </c>
      <c r="O395" s="4">
        <f t="shared" si="12"/>
        <v>7</v>
      </c>
      <c r="P395" s="3"/>
      <c r="Q395" s="6" t="str">
        <f t="shared" si="13"/>
        <v>OK</v>
      </c>
      <c r="R395" s="6" t="s">
        <v>497</v>
      </c>
    </row>
    <row r="396" spans="1:18" ht="33.950000000000003" customHeight="1" x14ac:dyDescent="0.25">
      <c r="A396" s="10">
        <v>395</v>
      </c>
      <c r="B396" s="2" t="s">
        <v>495</v>
      </c>
      <c r="C396" s="2" t="s">
        <v>67</v>
      </c>
      <c r="D396" s="2" t="s">
        <v>486</v>
      </c>
      <c r="E396" s="2" t="s">
        <v>162</v>
      </c>
      <c r="F396" s="10">
        <v>8</v>
      </c>
      <c r="G396" s="2" t="s">
        <v>31</v>
      </c>
      <c r="H396" s="7" t="str">
        <f>HYPERLINK("mast3r/outputs/custom_tennis_table_scen_4/reconstruction.glb","mast3r/outputs/custom_tennis_table_scen_4/reconstruction.glb")</f>
        <v>mast3r/outputs/custom_tennis_table_scen_4/reconstruction.glb</v>
      </c>
      <c r="I396" s="6" t="s">
        <v>496</v>
      </c>
      <c r="J396" s="3" t="s">
        <v>25</v>
      </c>
      <c r="K396" s="3">
        <v>2</v>
      </c>
      <c r="L396" s="3">
        <v>2</v>
      </c>
      <c r="M396" s="3">
        <v>1</v>
      </c>
      <c r="N396" s="3">
        <v>2</v>
      </c>
      <c r="O396" s="4">
        <f t="shared" si="12"/>
        <v>7</v>
      </c>
      <c r="P396" s="3"/>
      <c r="Q396" s="6" t="str">
        <f t="shared" si="13"/>
        <v>OK</v>
      </c>
      <c r="R396" s="6" t="s">
        <v>497</v>
      </c>
    </row>
    <row r="397" spans="1:18" ht="33.950000000000003" customHeight="1" x14ac:dyDescent="0.25">
      <c r="A397" s="10">
        <v>396</v>
      </c>
      <c r="B397" s="2" t="s">
        <v>495</v>
      </c>
      <c r="C397" s="2" t="s">
        <v>67</v>
      </c>
      <c r="D397" s="2" t="s">
        <v>486</v>
      </c>
      <c r="E397" s="2" t="s">
        <v>162</v>
      </c>
      <c r="F397" s="10">
        <v>8</v>
      </c>
      <c r="G397" s="2" t="s">
        <v>27</v>
      </c>
      <c r="H397" s="7" t="str">
        <f>HYPERLINK("mapany/outputs/custom_tennis_table_scen_4/reconstruction.glb","mapany/outputs/custom_tennis_table_scen_4/reconstruction.glb")</f>
        <v>mapany/outputs/custom_tennis_table_scen_4/reconstruction.glb</v>
      </c>
      <c r="I397" s="6" t="s">
        <v>496</v>
      </c>
      <c r="J397" s="3" t="s">
        <v>25</v>
      </c>
      <c r="K397" s="3">
        <v>2</v>
      </c>
      <c r="L397" s="3">
        <v>2</v>
      </c>
      <c r="M397" s="3">
        <v>1</v>
      </c>
      <c r="N397" s="3">
        <v>2</v>
      </c>
      <c r="O397" s="4">
        <f t="shared" si="12"/>
        <v>7</v>
      </c>
      <c r="P397" s="3"/>
      <c r="Q397" s="6" t="str">
        <f t="shared" si="13"/>
        <v>OK</v>
      </c>
      <c r="R397" s="6" t="s">
        <v>497</v>
      </c>
    </row>
    <row r="398" spans="1:18" ht="33.950000000000003" customHeight="1" x14ac:dyDescent="0.25">
      <c r="A398" s="10">
        <v>397</v>
      </c>
      <c r="B398" s="2" t="s">
        <v>498</v>
      </c>
      <c r="C398" s="2" t="s">
        <v>20</v>
      </c>
      <c r="D398" s="2" t="s">
        <v>499</v>
      </c>
      <c r="E398" s="2" t="s">
        <v>40</v>
      </c>
      <c r="F398" s="10">
        <v>1</v>
      </c>
      <c r="G398" s="2" t="s">
        <v>23</v>
      </c>
      <c r="H398" s="7" t="str">
        <f>HYPERLINK("vggt/outputs/eth3d_terrace_2_scen_1/reconstruction.glb","vggt/outputs/eth3d_terrace_2_scen_1/reconstruction.glb")</f>
        <v>vggt/outputs/eth3d_terrace_2_scen_1/reconstruction.glb</v>
      </c>
      <c r="I398" s="6" t="s">
        <v>500</v>
      </c>
      <c r="J398" s="3" t="s">
        <v>25</v>
      </c>
      <c r="K398" s="3">
        <v>0</v>
      </c>
      <c r="L398" s="3">
        <v>2</v>
      </c>
      <c r="M398" s="3">
        <v>2</v>
      </c>
      <c r="N398" s="3">
        <v>0</v>
      </c>
      <c r="O398" s="4">
        <f t="shared" si="12"/>
        <v>4</v>
      </c>
      <c r="P398" s="3"/>
      <c r="Q398" s="6" t="str">
        <f t="shared" si="13"/>
        <v>OK</v>
      </c>
      <c r="R398" s="6" t="s">
        <v>501</v>
      </c>
    </row>
    <row r="399" spans="1:18" ht="33.950000000000003" customHeight="1" x14ac:dyDescent="0.25">
      <c r="A399" s="10">
        <v>398</v>
      </c>
      <c r="B399" s="2" t="s">
        <v>498</v>
      </c>
      <c r="C399" s="2" t="s">
        <v>20</v>
      </c>
      <c r="D399" s="2" t="s">
        <v>499</v>
      </c>
      <c r="E399" s="2" t="s">
        <v>40</v>
      </c>
      <c r="F399" s="10">
        <v>1</v>
      </c>
      <c r="G399" s="2" t="s">
        <v>27</v>
      </c>
      <c r="H399" s="7" t="str">
        <f>HYPERLINK("mapany/outputs/eth3d_terrace_2_scen_1/reconstruction.glb","mapany/outputs/eth3d_terrace_2_scen_1/reconstruction.glb")</f>
        <v>mapany/outputs/eth3d_terrace_2_scen_1/reconstruction.glb</v>
      </c>
      <c r="I399" s="6" t="s">
        <v>500</v>
      </c>
      <c r="J399" s="3" t="s">
        <v>25</v>
      </c>
      <c r="K399" s="3">
        <v>2</v>
      </c>
      <c r="L399" s="3">
        <v>2</v>
      </c>
      <c r="M399" s="3">
        <v>2</v>
      </c>
      <c r="N399" s="3">
        <v>2</v>
      </c>
      <c r="O399" s="4">
        <f t="shared" si="12"/>
        <v>8</v>
      </c>
      <c r="P399" s="3"/>
      <c r="Q399" s="6" t="str">
        <f t="shared" si="13"/>
        <v>OK</v>
      </c>
      <c r="R399" s="6" t="s">
        <v>501</v>
      </c>
    </row>
    <row r="400" spans="1:18" ht="33.950000000000003" customHeight="1" x14ac:dyDescent="0.25">
      <c r="A400" s="10">
        <v>399</v>
      </c>
      <c r="B400" s="2" t="s">
        <v>502</v>
      </c>
      <c r="C400" s="2" t="s">
        <v>20</v>
      </c>
      <c r="D400" s="2" t="s">
        <v>499</v>
      </c>
      <c r="E400" s="2" t="s">
        <v>40</v>
      </c>
      <c r="F400" s="10">
        <v>2</v>
      </c>
      <c r="G400" s="2" t="s">
        <v>23</v>
      </c>
      <c r="H400" s="7" t="str">
        <f>HYPERLINK("vggt/outputs/eth3d_terrace_2_scen_2/reconstruction.glb","vggt/outputs/eth3d_terrace_2_scen_2/reconstruction.glb")</f>
        <v>vggt/outputs/eth3d_terrace_2_scen_2/reconstruction.glb</v>
      </c>
      <c r="I400" s="6" t="s">
        <v>503</v>
      </c>
      <c r="J400" s="3" t="s">
        <v>25</v>
      </c>
      <c r="K400" s="3">
        <v>1</v>
      </c>
      <c r="L400" s="3">
        <v>2</v>
      </c>
      <c r="M400" s="3">
        <v>2</v>
      </c>
      <c r="N400" s="3">
        <v>1</v>
      </c>
      <c r="O400" s="4">
        <f t="shared" si="12"/>
        <v>6</v>
      </c>
      <c r="P400" s="3"/>
      <c r="Q400" s="6" t="str">
        <f t="shared" si="13"/>
        <v>OK</v>
      </c>
      <c r="R400" s="6" t="s">
        <v>504</v>
      </c>
    </row>
    <row r="401" spans="1:18" ht="33.950000000000003" customHeight="1" x14ac:dyDescent="0.25">
      <c r="A401" s="10">
        <v>400</v>
      </c>
      <c r="B401" s="2" t="s">
        <v>502</v>
      </c>
      <c r="C401" s="2" t="s">
        <v>20</v>
      </c>
      <c r="D401" s="2" t="s">
        <v>499</v>
      </c>
      <c r="E401" s="2" t="s">
        <v>40</v>
      </c>
      <c r="F401" s="10">
        <v>2</v>
      </c>
      <c r="G401" s="2" t="s">
        <v>31</v>
      </c>
      <c r="H401" s="7" t="str">
        <f>HYPERLINK("mast3r/outputs/eth3d_terrace_2_scen_2/reconstruction.glb","mast3r/outputs/eth3d_terrace_2_scen_2/reconstruction.glb")</f>
        <v>mast3r/outputs/eth3d_terrace_2_scen_2/reconstruction.glb</v>
      </c>
      <c r="I401" s="6" t="s">
        <v>503</v>
      </c>
      <c r="J401" s="3" t="s">
        <v>25</v>
      </c>
      <c r="K401" s="3">
        <v>2</v>
      </c>
      <c r="L401" s="3">
        <v>1</v>
      </c>
      <c r="M401" s="3">
        <v>1</v>
      </c>
      <c r="N401" s="3">
        <v>2</v>
      </c>
      <c r="O401" s="4">
        <f t="shared" si="12"/>
        <v>6</v>
      </c>
      <c r="P401" s="3"/>
      <c r="Q401" s="6" t="str">
        <f t="shared" si="13"/>
        <v>OK</v>
      </c>
      <c r="R401" s="6" t="s">
        <v>504</v>
      </c>
    </row>
    <row r="402" spans="1:18" ht="33.950000000000003" customHeight="1" x14ac:dyDescent="0.25">
      <c r="A402" s="10">
        <v>401</v>
      </c>
      <c r="B402" s="2" t="s">
        <v>502</v>
      </c>
      <c r="C402" s="2" t="s">
        <v>20</v>
      </c>
      <c r="D402" s="2" t="s">
        <v>499</v>
      </c>
      <c r="E402" s="2" t="s">
        <v>40</v>
      </c>
      <c r="F402" s="10">
        <v>2</v>
      </c>
      <c r="G402" s="2" t="s">
        <v>27</v>
      </c>
      <c r="H402" s="7" t="str">
        <f>HYPERLINK("mapany/outputs/eth3d_terrace_2_scen_2/reconstruction.glb","mapany/outputs/eth3d_terrace_2_scen_2/reconstruction.glb")</f>
        <v>mapany/outputs/eth3d_terrace_2_scen_2/reconstruction.glb</v>
      </c>
      <c r="I402" s="6" t="s">
        <v>503</v>
      </c>
      <c r="J402" s="3" t="s">
        <v>25</v>
      </c>
      <c r="K402" s="3">
        <v>2</v>
      </c>
      <c r="L402" s="3">
        <v>2</v>
      </c>
      <c r="M402" s="3">
        <v>2</v>
      </c>
      <c r="N402" s="3">
        <v>2</v>
      </c>
      <c r="O402" s="4">
        <f t="shared" si="12"/>
        <v>8</v>
      </c>
      <c r="P402" s="3"/>
      <c r="Q402" s="6" t="str">
        <f t="shared" si="13"/>
        <v>OK</v>
      </c>
      <c r="R402" s="6" t="s">
        <v>504</v>
      </c>
    </row>
    <row r="403" spans="1:18" ht="33.950000000000003" customHeight="1" x14ac:dyDescent="0.25">
      <c r="A403" s="10">
        <v>402</v>
      </c>
      <c r="B403" s="2" t="s">
        <v>505</v>
      </c>
      <c r="C403" s="2" t="s">
        <v>20</v>
      </c>
      <c r="D403" s="2" t="s">
        <v>499</v>
      </c>
      <c r="E403" s="2" t="s">
        <v>40</v>
      </c>
      <c r="F403" s="10">
        <v>4</v>
      </c>
      <c r="G403" s="2" t="s">
        <v>23</v>
      </c>
      <c r="H403" s="7" t="str">
        <f>HYPERLINK("vggt/outputs/eth3d_terrace_2_scen_3/reconstruction.glb","vggt/outputs/eth3d_terrace_2_scen_3/reconstruction.glb")</f>
        <v>vggt/outputs/eth3d_terrace_2_scen_3/reconstruction.glb</v>
      </c>
      <c r="I403" s="6" t="s">
        <v>506</v>
      </c>
      <c r="J403" s="3" t="s">
        <v>25</v>
      </c>
      <c r="K403" s="3">
        <v>1</v>
      </c>
      <c r="L403" s="3">
        <v>2</v>
      </c>
      <c r="M403" s="3">
        <v>2</v>
      </c>
      <c r="N403" s="3">
        <v>1</v>
      </c>
      <c r="O403" s="4">
        <f t="shared" si="12"/>
        <v>6</v>
      </c>
      <c r="P403" s="3"/>
      <c r="Q403" s="6" t="str">
        <f t="shared" si="13"/>
        <v>OK</v>
      </c>
      <c r="R403" s="6" t="s">
        <v>507</v>
      </c>
    </row>
    <row r="404" spans="1:18" ht="33.950000000000003" customHeight="1" x14ac:dyDescent="0.25">
      <c r="A404" s="10">
        <v>403</v>
      </c>
      <c r="B404" s="2" t="s">
        <v>505</v>
      </c>
      <c r="C404" s="2" t="s">
        <v>20</v>
      </c>
      <c r="D404" s="2" t="s">
        <v>499</v>
      </c>
      <c r="E404" s="2" t="s">
        <v>40</v>
      </c>
      <c r="F404" s="10">
        <v>4</v>
      </c>
      <c r="G404" s="2" t="s">
        <v>31</v>
      </c>
      <c r="H404" s="7" t="str">
        <f>HYPERLINK("mast3r/outputs/eth3d_terrace_2_scen_3/reconstruction.glb","mast3r/outputs/eth3d_terrace_2_scen_3/reconstruction.glb")</f>
        <v>mast3r/outputs/eth3d_terrace_2_scen_3/reconstruction.glb</v>
      </c>
      <c r="I404" s="6" t="s">
        <v>506</v>
      </c>
      <c r="J404" s="3" t="s">
        <v>25</v>
      </c>
      <c r="K404" s="3">
        <v>2</v>
      </c>
      <c r="L404" s="3">
        <v>1</v>
      </c>
      <c r="M404" s="3">
        <v>1</v>
      </c>
      <c r="N404" s="3">
        <v>2</v>
      </c>
      <c r="O404" s="4">
        <f t="shared" si="12"/>
        <v>6</v>
      </c>
      <c r="P404" s="3"/>
      <c r="Q404" s="6" t="str">
        <f t="shared" si="13"/>
        <v>OK</v>
      </c>
      <c r="R404" s="6" t="s">
        <v>507</v>
      </c>
    </row>
    <row r="405" spans="1:18" ht="33.950000000000003" customHeight="1" x14ac:dyDescent="0.25">
      <c r="A405" s="10">
        <v>404</v>
      </c>
      <c r="B405" s="2" t="s">
        <v>505</v>
      </c>
      <c r="C405" s="2" t="s">
        <v>20</v>
      </c>
      <c r="D405" s="2" t="s">
        <v>499</v>
      </c>
      <c r="E405" s="2" t="s">
        <v>40</v>
      </c>
      <c r="F405" s="10">
        <v>4</v>
      </c>
      <c r="G405" s="2" t="s">
        <v>27</v>
      </c>
      <c r="H405" s="7" t="str">
        <f>HYPERLINK("mapany/outputs/eth3d_terrace_2_scen_3/reconstruction.glb","mapany/outputs/eth3d_terrace_2_scen_3/reconstruction.glb")</f>
        <v>mapany/outputs/eth3d_terrace_2_scen_3/reconstruction.glb</v>
      </c>
      <c r="I405" s="6" t="s">
        <v>506</v>
      </c>
      <c r="J405" s="3" t="s">
        <v>25</v>
      </c>
      <c r="K405" s="3">
        <v>2</v>
      </c>
      <c r="L405" s="3">
        <v>1</v>
      </c>
      <c r="M405" s="3">
        <v>2</v>
      </c>
      <c r="N405" s="3">
        <v>2</v>
      </c>
      <c r="O405" s="4">
        <f t="shared" si="12"/>
        <v>7</v>
      </c>
      <c r="P405" s="3"/>
      <c r="Q405" s="6" t="str">
        <f t="shared" si="13"/>
        <v>OK</v>
      </c>
      <c r="R405" s="6" t="s">
        <v>507</v>
      </c>
    </row>
    <row r="406" spans="1:18" ht="33.950000000000003" customHeight="1" x14ac:dyDescent="0.25">
      <c r="A406" s="10">
        <v>405</v>
      </c>
      <c r="B406" s="2" t="s">
        <v>508</v>
      </c>
      <c r="C406" s="2" t="s">
        <v>20</v>
      </c>
      <c r="D406" s="2" t="s">
        <v>499</v>
      </c>
      <c r="E406" s="2" t="s">
        <v>40</v>
      </c>
      <c r="F406" s="10">
        <v>8</v>
      </c>
      <c r="G406" s="2" t="s">
        <v>23</v>
      </c>
      <c r="H406" s="7" t="str">
        <f>HYPERLINK("vggt/outputs/eth3d_terrace_2_scen_4/reconstruction.glb","vggt/outputs/eth3d_terrace_2_scen_4/reconstruction.glb")</f>
        <v>vggt/outputs/eth3d_terrace_2_scen_4/reconstruction.glb</v>
      </c>
      <c r="I406" s="6" t="s">
        <v>509</v>
      </c>
      <c r="J406" s="3" t="s">
        <v>25</v>
      </c>
      <c r="K406" s="3">
        <v>1</v>
      </c>
      <c r="L406" s="3">
        <v>1</v>
      </c>
      <c r="M406" s="3">
        <v>2</v>
      </c>
      <c r="N406" s="3">
        <v>1</v>
      </c>
      <c r="O406" s="4">
        <f t="shared" si="12"/>
        <v>5</v>
      </c>
      <c r="P406" s="3"/>
      <c r="Q406" s="6" t="str">
        <f t="shared" si="13"/>
        <v>OK</v>
      </c>
      <c r="R406" s="6" t="s">
        <v>510</v>
      </c>
    </row>
    <row r="407" spans="1:18" ht="33.950000000000003" customHeight="1" x14ac:dyDescent="0.25">
      <c r="A407" s="10">
        <v>406</v>
      </c>
      <c r="B407" s="2" t="s">
        <v>508</v>
      </c>
      <c r="C407" s="2" t="s">
        <v>20</v>
      </c>
      <c r="D407" s="2" t="s">
        <v>499</v>
      </c>
      <c r="E407" s="2" t="s">
        <v>40</v>
      </c>
      <c r="F407" s="10">
        <v>8</v>
      </c>
      <c r="G407" s="2" t="s">
        <v>31</v>
      </c>
      <c r="H407" s="7" t="str">
        <f>HYPERLINK("mast3r/outputs/eth3d_terrace_2_scen_4/reconstruction.glb","mast3r/outputs/eth3d_terrace_2_scen_4/reconstruction.glb")</f>
        <v>mast3r/outputs/eth3d_terrace_2_scen_4/reconstruction.glb</v>
      </c>
      <c r="I407" s="6" t="s">
        <v>509</v>
      </c>
      <c r="J407" s="3" t="s">
        <v>25</v>
      </c>
      <c r="K407" s="3">
        <v>2</v>
      </c>
      <c r="L407" s="3">
        <v>1</v>
      </c>
      <c r="M407" s="3">
        <v>1</v>
      </c>
      <c r="N407" s="3">
        <v>2</v>
      </c>
      <c r="O407" s="4">
        <f t="shared" si="12"/>
        <v>6</v>
      </c>
      <c r="P407" s="3"/>
      <c r="Q407" s="6" t="str">
        <f t="shared" si="13"/>
        <v>OK</v>
      </c>
      <c r="R407" s="6" t="s">
        <v>510</v>
      </c>
    </row>
    <row r="408" spans="1:18" ht="33.950000000000003" customHeight="1" x14ac:dyDescent="0.25">
      <c r="A408" s="10">
        <v>407</v>
      </c>
      <c r="B408" s="2" t="s">
        <v>508</v>
      </c>
      <c r="C408" s="2" t="s">
        <v>20</v>
      </c>
      <c r="D408" s="2" t="s">
        <v>499</v>
      </c>
      <c r="E408" s="2" t="s">
        <v>40</v>
      </c>
      <c r="F408" s="10">
        <v>8</v>
      </c>
      <c r="G408" s="2" t="s">
        <v>27</v>
      </c>
      <c r="H408" s="7" t="str">
        <f>HYPERLINK("mapany/outputs/eth3d_terrace_2_scen_4/reconstruction.glb","mapany/outputs/eth3d_terrace_2_scen_4/reconstruction.glb")</f>
        <v>mapany/outputs/eth3d_terrace_2_scen_4/reconstruction.glb</v>
      </c>
      <c r="I408" s="6" t="s">
        <v>509</v>
      </c>
      <c r="J408" s="3" t="s">
        <v>25</v>
      </c>
      <c r="K408" s="3">
        <v>2</v>
      </c>
      <c r="L408" s="3">
        <v>1</v>
      </c>
      <c r="M408" s="3">
        <v>2</v>
      </c>
      <c r="N408" s="3">
        <v>2</v>
      </c>
      <c r="O408" s="4">
        <f t="shared" si="12"/>
        <v>7</v>
      </c>
      <c r="P408" s="3"/>
      <c r="Q408" s="6" t="str">
        <f t="shared" si="13"/>
        <v>OK</v>
      </c>
      <c r="R408" s="6" t="s">
        <v>510</v>
      </c>
    </row>
    <row r="409" spans="1:18" ht="33.950000000000003" customHeight="1" x14ac:dyDescent="0.25">
      <c r="A409" s="10">
        <v>408</v>
      </c>
      <c r="B409" s="2" t="s">
        <v>511</v>
      </c>
      <c r="C409" s="2" t="s">
        <v>134</v>
      </c>
      <c r="D409" s="2" t="s">
        <v>512</v>
      </c>
      <c r="E409" s="2" t="s">
        <v>54</v>
      </c>
      <c r="F409" s="10">
        <v>1</v>
      </c>
      <c r="G409" s="2" t="s">
        <v>23</v>
      </c>
      <c r="H409" s="7" t="str">
        <f>HYPERLINK("vggt/outputs/llff_trex_scen_1/reconstruction.glb","vggt/outputs/llff_trex_scen_1/reconstruction.glb")</f>
        <v>vggt/outputs/llff_trex_scen_1/reconstruction.glb</v>
      </c>
      <c r="I409" s="6" t="s">
        <v>513</v>
      </c>
      <c r="J409" s="3" t="s">
        <v>25</v>
      </c>
      <c r="K409" s="3">
        <v>2</v>
      </c>
      <c r="L409" s="3">
        <v>2</v>
      </c>
      <c r="M409" s="3">
        <v>1</v>
      </c>
      <c r="N409" s="3">
        <v>2</v>
      </c>
      <c r="O409" s="4">
        <f t="shared" si="12"/>
        <v>7</v>
      </c>
      <c r="P409" s="3"/>
      <c r="Q409" s="6" t="str">
        <f t="shared" si="13"/>
        <v>OK</v>
      </c>
      <c r="R409" s="6" t="s">
        <v>514</v>
      </c>
    </row>
    <row r="410" spans="1:18" ht="33.950000000000003" customHeight="1" x14ac:dyDescent="0.25">
      <c r="A410" s="10">
        <v>409</v>
      </c>
      <c r="B410" s="2" t="s">
        <v>511</v>
      </c>
      <c r="C410" s="2" t="s">
        <v>134</v>
      </c>
      <c r="D410" s="2" t="s">
        <v>512</v>
      </c>
      <c r="E410" s="2" t="s">
        <v>54</v>
      </c>
      <c r="F410" s="10">
        <v>1</v>
      </c>
      <c r="G410" s="2" t="s">
        <v>27</v>
      </c>
      <c r="H410" s="7" t="str">
        <f>HYPERLINK("mapany/outputs/llff_trex_scen_1/reconstruction.glb","mapany/outputs/llff_trex_scen_1/reconstruction.glb")</f>
        <v>mapany/outputs/llff_trex_scen_1/reconstruction.glb</v>
      </c>
      <c r="I410" s="6" t="s">
        <v>513</v>
      </c>
      <c r="J410" s="3" t="s">
        <v>25</v>
      </c>
      <c r="K410" s="3">
        <v>2</v>
      </c>
      <c r="L410" s="3">
        <v>2</v>
      </c>
      <c r="M410" s="3">
        <v>1</v>
      </c>
      <c r="N410" s="3">
        <v>2</v>
      </c>
      <c r="O410" s="4">
        <f t="shared" si="12"/>
        <v>7</v>
      </c>
      <c r="P410" s="3"/>
      <c r="Q410" s="6" t="str">
        <f t="shared" si="13"/>
        <v>OK</v>
      </c>
      <c r="R410" s="6" t="s">
        <v>514</v>
      </c>
    </row>
    <row r="411" spans="1:18" ht="33.950000000000003" customHeight="1" x14ac:dyDescent="0.25">
      <c r="A411" s="10">
        <v>410</v>
      </c>
      <c r="B411" s="2" t="s">
        <v>515</v>
      </c>
      <c r="C411" s="2" t="s">
        <v>134</v>
      </c>
      <c r="D411" s="2" t="s">
        <v>512</v>
      </c>
      <c r="E411" s="2" t="s">
        <v>54</v>
      </c>
      <c r="F411" s="10">
        <v>2</v>
      </c>
      <c r="G411" s="2" t="s">
        <v>23</v>
      </c>
      <c r="H411" s="7" t="str">
        <f>HYPERLINK("vggt/outputs/llff_trex_scen_2/reconstruction.glb","vggt/outputs/llff_trex_scen_2/reconstruction.glb")</f>
        <v>vggt/outputs/llff_trex_scen_2/reconstruction.glb</v>
      </c>
      <c r="I411" s="6" t="s">
        <v>516</v>
      </c>
      <c r="J411" s="3" t="s">
        <v>25</v>
      </c>
      <c r="K411" s="3">
        <v>2</v>
      </c>
      <c r="L411" s="3">
        <v>1</v>
      </c>
      <c r="M411" s="3">
        <v>1</v>
      </c>
      <c r="N411" s="3">
        <v>2</v>
      </c>
      <c r="O411" s="4">
        <f t="shared" si="12"/>
        <v>6</v>
      </c>
      <c r="P411" s="3"/>
      <c r="Q411" s="6" t="str">
        <f t="shared" si="13"/>
        <v>OK</v>
      </c>
      <c r="R411" s="6" t="s">
        <v>517</v>
      </c>
    </row>
    <row r="412" spans="1:18" ht="33.950000000000003" customHeight="1" x14ac:dyDescent="0.25">
      <c r="A412" s="10">
        <v>411</v>
      </c>
      <c r="B412" s="2" t="s">
        <v>515</v>
      </c>
      <c r="C412" s="2" t="s">
        <v>134</v>
      </c>
      <c r="D412" s="2" t="s">
        <v>512</v>
      </c>
      <c r="E412" s="2" t="s">
        <v>54</v>
      </c>
      <c r="F412" s="10">
        <v>2</v>
      </c>
      <c r="G412" s="2" t="s">
        <v>31</v>
      </c>
      <c r="H412" s="7" t="str">
        <f>HYPERLINK("mast3r/outputs/llff_trex_scen_2/reconstruction.glb","mast3r/outputs/llff_trex_scen_2/reconstruction.glb")</f>
        <v>mast3r/outputs/llff_trex_scen_2/reconstruction.glb</v>
      </c>
      <c r="I412" s="6" t="s">
        <v>516</v>
      </c>
      <c r="J412" s="3" t="s">
        <v>25</v>
      </c>
      <c r="K412" s="3">
        <v>1</v>
      </c>
      <c r="L412" s="3">
        <v>1</v>
      </c>
      <c r="M412" s="3">
        <v>2</v>
      </c>
      <c r="N412" s="3">
        <v>1</v>
      </c>
      <c r="O412" s="4">
        <f t="shared" si="12"/>
        <v>5</v>
      </c>
      <c r="P412" s="3"/>
      <c r="Q412" s="6" t="str">
        <f t="shared" si="13"/>
        <v>OK</v>
      </c>
      <c r="R412" s="6" t="s">
        <v>517</v>
      </c>
    </row>
    <row r="413" spans="1:18" ht="33.950000000000003" customHeight="1" x14ac:dyDescent="0.25">
      <c r="A413" s="10">
        <v>412</v>
      </c>
      <c r="B413" s="2" t="s">
        <v>515</v>
      </c>
      <c r="C413" s="2" t="s">
        <v>134</v>
      </c>
      <c r="D413" s="2" t="s">
        <v>512</v>
      </c>
      <c r="E413" s="2" t="s">
        <v>54</v>
      </c>
      <c r="F413" s="10">
        <v>2</v>
      </c>
      <c r="G413" s="2" t="s">
        <v>27</v>
      </c>
      <c r="H413" s="7" t="str">
        <f>HYPERLINK("mapany/outputs/llff_trex_scen_2/reconstruction.glb","mapany/outputs/llff_trex_scen_2/reconstruction.glb")</f>
        <v>mapany/outputs/llff_trex_scen_2/reconstruction.glb</v>
      </c>
      <c r="I413" s="6" t="s">
        <v>516</v>
      </c>
      <c r="J413" s="3" t="s">
        <v>25</v>
      </c>
      <c r="K413" s="3">
        <v>3</v>
      </c>
      <c r="L413" s="3">
        <v>2</v>
      </c>
      <c r="M413" s="3">
        <v>1</v>
      </c>
      <c r="N413" s="3">
        <v>2</v>
      </c>
      <c r="O413" s="4">
        <f t="shared" si="12"/>
        <v>8</v>
      </c>
      <c r="P413" s="3"/>
      <c r="Q413" s="6" t="str">
        <f t="shared" si="13"/>
        <v>OK</v>
      </c>
      <c r="R413" s="6" t="s">
        <v>517</v>
      </c>
    </row>
    <row r="414" spans="1:18" ht="33.950000000000003" customHeight="1" x14ac:dyDescent="0.25">
      <c r="A414" s="10">
        <v>413</v>
      </c>
      <c r="B414" s="2" t="s">
        <v>518</v>
      </c>
      <c r="C414" s="2" t="s">
        <v>134</v>
      </c>
      <c r="D414" s="2" t="s">
        <v>512</v>
      </c>
      <c r="E414" s="2" t="s">
        <v>54</v>
      </c>
      <c r="F414" s="10">
        <v>4</v>
      </c>
      <c r="G414" s="2" t="s">
        <v>23</v>
      </c>
      <c r="H414" s="7" t="str">
        <f>HYPERLINK("vggt/outputs/llff_trex_scen_3/reconstruction.glb","vggt/outputs/llff_trex_scen_3/reconstruction.glb")</f>
        <v>vggt/outputs/llff_trex_scen_3/reconstruction.glb</v>
      </c>
      <c r="I414" s="6" t="s">
        <v>519</v>
      </c>
      <c r="J414" s="3" t="s">
        <v>25</v>
      </c>
      <c r="K414" s="3">
        <v>2</v>
      </c>
      <c r="L414" s="3">
        <v>2</v>
      </c>
      <c r="M414" s="3">
        <v>1</v>
      </c>
      <c r="N414" s="3">
        <v>2</v>
      </c>
      <c r="O414" s="4">
        <f t="shared" si="12"/>
        <v>7</v>
      </c>
      <c r="P414" s="3"/>
      <c r="Q414" s="6" t="str">
        <f t="shared" si="13"/>
        <v>OK</v>
      </c>
      <c r="R414" s="6" t="s">
        <v>520</v>
      </c>
    </row>
    <row r="415" spans="1:18" ht="33.950000000000003" customHeight="1" x14ac:dyDescent="0.25">
      <c r="A415" s="10">
        <v>414</v>
      </c>
      <c r="B415" s="2" t="s">
        <v>518</v>
      </c>
      <c r="C415" s="2" t="s">
        <v>134</v>
      </c>
      <c r="D415" s="2" t="s">
        <v>512</v>
      </c>
      <c r="E415" s="2" t="s">
        <v>54</v>
      </c>
      <c r="F415" s="10">
        <v>4</v>
      </c>
      <c r="G415" s="2" t="s">
        <v>31</v>
      </c>
      <c r="H415" s="7" t="str">
        <f>HYPERLINK("mast3r/outputs/llff_trex_scen_3/reconstruction.glb","mast3r/outputs/llff_trex_scen_3/reconstruction.glb")</f>
        <v>mast3r/outputs/llff_trex_scen_3/reconstruction.glb</v>
      </c>
      <c r="I415" s="6" t="s">
        <v>519</v>
      </c>
      <c r="J415" s="3" t="s">
        <v>25</v>
      </c>
      <c r="K415" s="3">
        <v>1</v>
      </c>
      <c r="L415" s="3">
        <v>2</v>
      </c>
      <c r="M415" s="3">
        <v>1</v>
      </c>
      <c r="N415" s="3">
        <v>2</v>
      </c>
      <c r="O415" s="4">
        <f t="shared" si="12"/>
        <v>6</v>
      </c>
      <c r="P415" s="3"/>
      <c r="Q415" s="6" t="str">
        <f t="shared" si="13"/>
        <v>OK</v>
      </c>
      <c r="R415" s="6" t="s">
        <v>520</v>
      </c>
    </row>
    <row r="416" spans="1:18" ht="33.950000000000003" customHeight="1" x14ac:dyDescent="0.25">
      <c r="A416" s="10">
        <v>415</v>
      </c>
      <c r="B416" s="2" t="s">
        <v>518</v>
      </c>
      <c r="C416" s="2" t="s">
        <v>134</v>
      </c>
      <c r="D416" s="2" t="s">
        <v>512</v>
      </c>
      <c r="E416" s="2" t="s">
        <v>54</v>
      </c>
      <c r="F416" s="10">
        <v>4</v>
      </c>
      <c r="G416" s="2" t="s">
        <v>27</v>
      </c>
      <c r="H416" s="7" t="str">
        <f>HYPERLINK("mapany/outputs/llff_trex_scen_3/reconstruction.glb","mapany/outputs/llff_trex_scen_3/reconstruction.glb")</f>
        <v>mapany/outputs/llff_trex_scen_3/reconstruction.glb</v>
      </c>
      <c r="I416" s="6" t="s">
        <v>519</v>
      </c>
      <c r="J416" s="3" t="s">
        <v>25</v>
      </c>
      <c r="K416" s="3">
        <v>3</v>
      </c>
      <c r="L416" s="3">
        <v>2</v>
      </c>
      <c r="M416" s="3">
        <v>1</v>
      </c>
      <c r="N416" s="3">
        <v>2</v>
      </c>
      <c r="O416" s="4">
        <f t="shared" si="12"/>
        <v>8</v>
      </c>
      <c r="P416" s="3"/>
      <c r="Q416" s="6" t="str">
        <f t="shared" si="13"/>
        <v>OK</v>
      </c>
      <c r="R416" s="6" t="s">
        <v>520</v>
      </c>
    </row>
    <row r="417" spans="1:18" ht="33.950000000000003" customHeight="1" x14ac:dyDescent="0.25">
      <c r="A417" s="10">
        <v>416</v>
      </c>
      <c r="B417" s="2" t="s">
        <v>521</v>
      </c>
      <c r="C417" s="2" t="s">
        <v>134</v>
      </c>
      <c r="D417" s="2" t="s">
        <v>512</v>
      </c>
      <c r="E417" s="2" t="s">
        <v>54</v>
      </c>
      <c r="F417" s="10">
        <v>8</v>
      </c>
      <c r="G417" s="2" t="s">
        <v>23</v>
      </c>
      <c r="H417" s="7" t="str">
        <f>HYPERLINK("vggt/outputs/llff_trex_scen_4/reconstruction.glb","vggt/outputs/llff_trex_scen_4/reconstruction.glb")</f>
        <v>vggt/outputs/llff_trex_scen_4/reconstruction.glb</v>
      </c>
      <c r="I417" s="6" t="s">
        <v>522</v>
      </c>
      <c r="J417" s="3" t="s">
        <v>25</v>
      </c>
      <c r="K417" s="3">
        <v>2</v>
      </c>
      <c r="L417" s="3">
        <v>2</v>
      </c>
      <c r="M417" s="3">
        <v>1</v>
      </c>
      <c r="N417" s="3">
        <v>2</v>
      </c>
      <c r="O417" s="4">
        <f t="shared" si="12"/>
        <v>7</v>
      </c>
      <c r="P417" s="3"/>
      <c r="Q417" s="6" t="str">
        <f t="shared" si="13"/>
        <v>OK</v>
      </c>
      <c r="R417" s="6" t="s">
        <v>523</v>
      </c>
    </row>
    <row r="418" spans="1:18" ht="33.950000000000003" customHeight="1" x14ac:dyDescent="0.25">
      <c r="A418" s="10">
        <v>417</v>
      </c>
      <c r="B418" s="2" t="s">
        <v>521</v>
      </c>
      <c r="C418" s="2" t="s">
        <v>134</v>
      </c>
      <c r="D418" s="2" t="s">
        <v>512</v>
      </c>
      <c r="E418" s="2" t="s">
        <v>54</v>
      </c>
      <c r="F418" s="10">
        <v>8</v>
      </c>
      <c r="G418" s="2" t="s">
        <v>31</v>
      </c>
      <c r="H418" s="7" t="str">
        <f>HYPERLINK("mast3r/outputs/llff_trex_scen_4/reconstruction.glb","mast3r/outputs/llff_trex_scen_4/reconstruction.glb")</f>
        <v>mast3r/outputs/llff_trex_scen_4/reconstruction.glb</v>
      </c>
      <c r="I418" s="6" t="s">
        <v>522</v>
      </c>
      <c r="J418" s="3" t="s">
        <v>25</v>
      </c>
      <c r="K418" s="3">
        <v>1</v>
      </c>
      <c r="L418" s="3">
        <v>2</v>
      </c>
      <c r="M418" s="3">
        <v>1</v>
      </c>
      <c r="N418" s="3">
        <v>2</v>
      </c>
      <c r="O418" s="4">
        <f t="shared" si="12"/>
        <v>6</v>
      </c>
      <c r="P418" s="3"/>
      <c r="Q418" s="6" t="str">
        <f t="shared" si="13"/>
        <v>OK</v>
      </c>
      <c r="R418" s="6" t="s">
        <v>523</v>
      </c>
    </row>
    <row r="419" spans="1:18" ht="33.950000000000003" customHeight="1" x14ac:dyDescent="0.25">
      <c r="A419" s="10">
        <v>418</v>
      </c>
      <c r="B419" s="2" t="s">
        <v>521</v>
      </c>
      <c r="C419" s="2" t="s">
        <v>134</v>
      </c>
      <c r="D419" s="2" t="s">
        <v>512</v>
      </c>
      <c r="E419" s="2" t="s">
        <v>54</v>
      </c>
      <c r="F419" s="10">
        <v>8</v>
      </c>
      <c r="G419" s="2" t="s">
        <v>27</v>
      </c>
      <c r="H419" s="7" t="str">
        <f>HYPERLINK("mapany/outputs/llff_trex_scen_4/reconstruction.glb","mapany/outputs/llff_trex_scen_4/reconstruction.glb")</f>
        <v>mapany/outputs/llff_trex_scen_4/reconstruction.glb</v>
      </c>
      <c r="I419" s="6" t="s">
        <v>522</v>
      </c>
      <c r="J419" s="3" t="s">
        <v>25</v>
      </c>
      <c r="K419" s="3">
        <v>3</v>
      </c>
      <c r="L419" s="3">
        <v>2</v>
      </c>
      <c r="M419" s="3">
        <v>1</v>
      </c>
      <c r="N419" s="3">
        <v>2</v>
      </c>
      <c r="O419" s="4">
        <f t="shared" si="12"/>
        <v>8</v>
      </c>
      <c r="P419" s="3"/>
      <c r="Q419" s="6" t="str">
        <f t="shared" si="13"/>
        <v>OK</v>
      </c>
      <c r="R419" s="6" t="s">
        <v>523</v>
      </c>
    </row>
  </sheetData>
  <autoFilter ref="A1:R419" xr:uid="{00000000-0009-0000-0000-000001000000}"/>
  <conditionalFormatting sqref="J2:J419">
    <cfRule type="cellIs" dxfId="0" priority="3" operator="equal">
      <formula>"Niepowodzenie rekonstrukcji"</formula>
    </cfRule>
  </conditionalFormatting>
  <conditionalFormatting sqref="K2:N419">
    <cfRule type="colorScale" priority="1">
      <colorScale>
        <cfvo type="num" val="0"/>
        <cfvo type="num" val="1.5"/>
        <cfvo type="num" val="3"/>
        <color rgb="FFF8696B"/>
        <color rgb="FFFFEB84"/>
        <color rgb="FF63BE7B"/>
      </colorScale>
    </cfRule>
  </conditionalFormatting>
  <conditionalFormatting sqref="O2:O419">
    <cfRule type="colorScale" priority="2">
      <colorScale>
        <cfvo type="num" val="0"/>
        <cfvo type="num" val="6"/>
        <cfvo type="num" val="12"/>
        <color rgb="FFF8696B"/>
        <color rgb="FFFFEB84"/>
        <color rgb="FF63BE7B"/>
      </colorScale>
    </cfRule>
  </conditionalFormatting>
  <dataValidations count="2">
    <dataValidation type="list" showInputMessage="1" showErrorMessage="1" errorTitle="Nieprawidłowy status" error="Wybierz status z listy." promptTitle="Status przypadku" prompt="Dla niepowodzenia ustaw także C, G, A i D na 0." sqref="J2:J419" xr:uid="{00000000-0002-0000-0100-000000000000}">
      <formula1>"Do oceny,Oceniono,Niepowodzenie rekonstrukcji"</formula1>
    </dataValidation>
    <dataValidation type="whole" allowBlank="1" showInputMessage="1" showErrorMessage="1" errorTitle="Nieprawidłowa ocena" error="Dozwolone są tylko liczby całkowite od 0 do 3." promptTitle="Ocena 0–3" prompt="Definicje punktów są w arkuszu Skala." sqref="K2:N419" xr:uid="{00000000-0002-0000-0100-000001000000}">
      <formula1>0</formula1>
      <formula2>3</formula2>
    </dataValidation>
  </dataValidation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zoomScale="90" workbookViewId="0">
      <pane ySplit="2" topLeftCell="A3" activePane="bottomLeft" state="frozen"/>
      <selection pane="bottomLeft" activeCell="A7" sqref="A7:E7"/>
    </sheetView>
  </sheetViews>
  <sheetFormatPr defaultRowHeight="15" x14ac:dyDescent="0.25"/>
  <cols>
    <col min="1" max="1" width="31" customWidth="1"/>
    <col min="2" max="5" width="45" customWidth="1"/>
  </cols>
  <sheetData>
    <row r="1" spans="1:5" ht="32.1" customHeight="1" x14ac:dyDescent="0.25">
      <c r="A1" s="15" t="s">
        <v>524</v>
      </c>
      <c r="B1" s="15"/>
      <c r="C1" s="15"/>
      <c r="D1" s="15"/>
      <c r="E1" s="15"/>
    </row>
    <row r="2" spans="1:5" ht="33.950000000000003" customHeight="1" x14ac:dyDescent="0.25">
      <c r="A2" s="1" t="s">
        <v>525</v>
      </c>
      <c r="B2" s="1" t="s">
        <v>526</v>
      </c>
      <c r="C2" s="1" t="s">
        <v>527</v>
      </c>
      <c r="D2" s="1" t="s">
        <v>528</v>
      </c>
      <c r="E2" s="1" t="s">
        <v>529</v>
      </c>
    </row>
    <row r="3" spans="1:5" ht="92.1" customHeight="1" x14ac:dyDescent="0.25">
      <c r="A3" s="5" t="s">
        <v>530</v>
      </c>
      <c r="B3" s="11" t="s">
        <v>531</v>
      </c>
      <c r="C3" s="12" t="s">
        <v>532</v>
      </c>
      <c r="D3" s="13" t="s">
        <v>533</v>
      </c>
      <c r="E3" s="14" t="s">
        <v>534</v>
      </c>
    </row>
    <row r="4" spans="1:5" ht="92.1" customHeight="1" x14ac:dyDescent="0.25">
      <c r="A4" s="5" t="s">
        <v>535</v>
      </c>
      <c r="B4" s="11" t="s">
        <v>536</v>
      </c>
      <c r="C4" s="12" t="s">
        <v>537</v>
      </c>
      <c r="D4" s="13" t="s">
        <v>538</v>
      </c>
      <c r="E4" s="14" t="s">
        <v>539</v>
      </c>
    </row>
    <row r="5" spans="1:5" ht="92.1" customHeight="1" x14ac:dyDescent="0.25">
      <c r="A5" s="5" t="s">
        <v>540</v>
      </c>
      <c r="B5" s="11" t="s">
        <v>541</v>
      </c>
      <c r="C5" s="12" t="s">
        <v>542</v>
      </c>
      <c r="D5" s="13" t="s">
        <v>543</v>
      </c>
      <c r="E5" s="14" t="s">
        <v>544</v>
      </c>
    </row>
    <row r="6" spans="1:5" ht="92.1" customHeight="1" x14ac:dyDescent="0.25">
      <c r="A6" s="5" t="s">
        <v>14</v>
      </c>
      <c r="B6" s="11" t="s">
        <v>545</v>
      </c>
      <c r="C6" s="12" t="s">
        <v>546</v>
      </c>
      <c r="D6" s="13" t="s">
        <v>547</v>
      </c>
      <c r="E6" s="14" t="s">
        <v>548</v>
      </c>
    </row>
    <row r="7" spans="1:5" ht="33.950000000000003" customHeight="1" x14ac:dyDescent="0.25">
      <c r="A7" s="16" t="s">
        <v>549</v>
      </c>
      <c r="B7" s="16"/>
      <c r="C7" s="16"/>
      <c r="D7" s="16"/>
      <c r="E7" s="16"/>
    </row>
    <row r="8" spans="1:5" ht="33.950000000000003" customHeight="1" x14ac:dyDescent="0.25">
      <c r="A8" s="16"/>
      <c r="B8" s="16"/>
      <c r="C8" s="16"/>
      <c r="D8" s="16"/>
      <c r="E8" s="16"/>
    </row>
    <row r="9" spans="1:5" ht="33.950000000000003" customHeight="1" x14ac:dyDescent="0.25">
      <c r="A9" s="16"/>
      <c r="B9" s="16"/>
      <c r="C9" s="16"/>
      <c r="D9" s="16"/>
      <c r="E9" s="16"/>
    </row>
    <row r="10" spans="1:5" ht="48" customHeight="1" x14ac:dyDescent="0.25">
      <c r="A10" s="16"/>
      <c r="B10" s="16"/>
      <c r="C10" s="16"/>
      <c r="D10" s="16"/>
      <c r="E10" s="16"/>
    </row>
  </sheetData>
  <mergeCells count="5">
    <mergeCell ref="A1:E1"/>
    <mergeCell ref="A7:E7"/>
    <mergeCell ref="A8:E8"/>
    <mergeCell ref="A9:E9"/>
    <mergeCell ref="A10:E10"/>
  </mergeCells>
  <pageMargins left="0.4" right="0.4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"/>
  <sheetViews>
    <sheetView showGridLines="0" zoomScale="90" workbookViewId="0">
      <pane ySplit="2" topLeftCell="A3" activePane="bottomLeft" state="frozen"/>
      <selection pane="bottomLeft" activeCell="E22" sqref="E22"/>
    </sheetView>
  </sheetViews>
  <sheetFormatPr defaultRowHeight="15" x14ac:dyDescent="0.25"/>
  <cols>
    <col min="1" max="1" width="17" customWidth="1"/>
    <col min="2" max="2" width="12" customWidth="1"/>
    <col min="3" max="3" width="18" customWidth="1"/>
    <col min="4" max="4" width="15" customWidth="1"/>
    <col min="5" max="5" width="18" customWidth="1"/>
    <col min="6" max="6" width="11" customWidth="1"/>
    <col min="7" max="16" width="12" customWidth="1"/>
    <col min="17" max="18" width="10" customWidth="1"/>
    <col min="19" max="20" width="18" customWidth="1"/>
  </cols>
  <sheetData>
    <row r="1" spans="1:20" ht="32.1" customHeight="1" x14ac:dyDescent="0.25">
      <c r="A1" s="15" t="s">
        <v>550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44.1" customHeight="1" x14ac:dyDescent="0.25">
      <c r="A2" s="1" t="s">
        <v>7</v>
      </c>
      <c r="B2" s="1" t="s">
        <v>551</v>
      </c>
      <c r="C2" s="1" t="s">
        <v>0</v>
      </c>
      <c r="D2" s="1" t="s">
        <v>552</v>
      </c>
      <c r="E2" s="1" t="s">
        <v>553</v>
      </c>
      <c r="F2" s="1" t="s">
        <v>554</v>
      </c>
      <c r="G2" s="1" t="s">
        <v>555</v>
      </c>
      <c r="H2" s="1" t="s">
        <v>556</v>
      </c>
      <c r="I2" s="1" t="s">
        <v>557</v>
      </c>
      <c r="J2" s="1" t="s">
        <v>558</v>
      </c>
      <c r="K2" s="1" t="s">
        <v>559</v>
      </c>
      <c r="L2" s="1" t="s">
        <v>560</v>
      </c>
      <c r="M2" s="1" t="s">
        <v>561</v>
      </c>
      <c r="N2" s="1" t="s">
        <v>562</v>
      </c>
      <c r="O2" s="1" t="s">
        <v>563</v>
      </c>
      <c r="P2" s="1" t="s">
        <v>564</v>
      </c>
      <c r="Q2" s="1" t="s">
        <v>565</v>
      </c>
      <c r="R2" s="1" t="s">
        <v>566</v>
      </c>
      <c r="S2" s="1" t="s">
        <v>567</v>
      </c>
      <c r="T2" s="1" t="s">
        <v>568</v>
      </c>
    </row>
    <row r="3" spans="1:20" ht="27.95" customHeight="1" x14ac:dyDescent="0.25">
      <c r="A3" s="2" t="s">
        <v>23</v>
      </c>
      <c r="B3" s="10">
        <v>1</v>
      </c>
      <c r="C3" s="10">
        <v>1</v>
      </c>
      <c r="D3" s="10">
        <v>38</v>
      </c>
      <c r="E3" s="10">
        <f>COUNT(Ocena!$O$2,Ocena!$O$13,Ocena!$O$24,Ocena!$O$35,Ocena!$O$46,Ocena!$O$57,Ocena!$O$68,Ocena!$O$79,Ocena!$O$90,Ocena!$O$101,Ocena!$O$112,Ocena!$O$123,Ocena!$O$134,Ocena!$O$145,Ocena!$O$156,Ocena!$O$167,Ocena!$O$178,Ocena!$O$189,Ocena!$O$200,Ocena!$O$211,Ocena!$O$222,Ocena!$O$233,Ocena!$O$244,Ocena!$O$255,Ocena!$O$266,Ocena!$O$277,Ocena!$O$288,Ocena!$O$299,Ocena!$O$310,Ocena!$O$321,Ocena!$O$332,Ocena!$O$343,Ocena!$O$354,Ocena!$O$355,Ocena!$O$376,Ocena!$O$387,Ocena!$O$398,Ocena!$O$409)</f>
        <v>38</v>
      </c>
      <c r="F3" s="8">
        <f t="shared" ref="F3:F13" si="0">IFERROR(E3/D3,0)</f>
        <v>1</v>
      </c>
      <c r="G3" s="9">
        <f>IF(E3=0,"",MEDIAN(Ocena!$O$2,Ocena!$O$13,Ocena!$O$24,Ocena!$O$35,Ocena!$O$46,Ocena!$O$57,Ocena!$O$68,Ocena!$O$79,Ocena!$O$90,Ocena!$O$101,Ocena!$O$112,Ocena!$O$123,Ocena!$O$134,Ocena!$O$145,Ocena!$O$156,Ocena!$O$167,Ocena!$O$178,Ocena!$O$189,Ocena!$O$200,Ocena!$O$211,Ocena!$O$222,Ocena!$O$233,Ocena!$O$244,Ocena!$O$255,Ocena!$O$266,Ocena!$O$277,Ocena!$O$288,Ocena!$O$299,Ocena!$O$310,Ocena!$O$321,Ocena!$O$332,Ocena!$O$343,Ocena!$O$354,Ocena!$O$355,Ocena!$O$376,Ocena!$O$387,Ocena!$O$398,Ocena!$O$409))</f>
        <v>7</v>
      </c>
      <c r="H3" s="9">
        <f>IF(E3=0,"",AVERAGE(Ocena!$O$2,Ocena!$O$13,Ocena!$O$24,Ocena!$O$35,Ocena!$O$46,Ocena!$O$57,Ocena!$O$68,Ocena!$O$79,Ocena!$O$90,Ocena!$O$101,Ocena!$O$112,Ocena!$O$123,Ocena!$O$134,Ocena!$O$145,Ocena!$O$156,Ocena!$O$167,Ocena!$O$178,Ocena!$O$189,Ocena!$O$200,Ocena!$O$211,Ocena!$O$222,Ocena!$O$233,Ocena!$O$244,Ocena!$O$255,Ocena!$O$266,Ocena!$O$277,Ocena!$O$288,Ocena!$O$299,Ocena!$O$310,Ocena!$O$321,Ocena!$O$332,Ocena!$O$343,Ocena!$O$354,Ocena!$O$355,Ocena!$O$376,Ocena!$O$387,Ocena!$O$398,Ocena!$O$409))</f>
        <v>6.5526315789473681</v>
      </c>
      <c r="I3" s="9">
        <f>IF(E3=0,"",MEDIAN(Ocena!$K$2,Ocena!$K$13,Ocena!$K$24,Ocena!$K$35,Ocena!$K$46,Ocena!$K$57,Ocena!$K$68,Ocena!$K$79,Ocena!$K$90,Ocena!$K$101,Ocena!$K$112,Ocena!$K$123,Ocena!$K$134,Ocena!$K$145,Ocena!$K$156,Ocena!$K$167,Ocena!$K$178,Ocena!$K$189,Ocena!$K$200,Ocena!$K$211,Ocena!$K$222,Ocena!$K$233,Ocena!$K$244,Ocena!$K$255,Ocena!$K$266,Ocena!$K$277,Ocena!$K$288,Ocena!$K$299,Ocena!$K$310,Ocena!$K$321,Ocena!$K$332,Ocena!$K$343,Ocena!$K$354,Ocena!$K$355,Ocena!$K$376,Ocena!$K$387,Ocena!$K$398,Ocena!$K$409))</f>
        <v>1</v>
      </c>
      <c r="J3" s="9">
        <f>IF(E3=0,"",AVERAGE(Ocena!$K$2,Ocena!$K$13,Ocena!$K$24,Ocena!$K$35,Ocena!$K$46,Ocena!$K$57,Ocena!$K$68,Ocena!$K$79,Ocena!$K$90,Ocena!$K$101,Ocena!$K$112,Ocena!$K$123,Ocena!$K$134,Ocena!$K$145,Ocena!$K$156,Ocena!$K$167,Ocena!$K$178,Ocena!$K$189,Ocena!$K$200,Ocena!$K$211,Ocena!$K$222,Ocena!$K$233,Ocena!$K$244,Ocena!$K$255,Ocena!$K$266,Ocena!$K$277,Ocena!$K$288,Ocena!$K$299,Ocena!$K$310,Ocena!$K$321,Ocena!$K$332,Ocena!$K$343,Ocena!$K$354,Ocena!$K$355,Ocena!$K$376,Ocena!$K$387,Ocena!$K$398,Ocena!$K$409))</f>
        <v>1.1052631578947369</v>
      </c>
      <c r="K3" s="9">
        <f>IF(E3=0,"",MEDIAN(Ocena!$L$2,Ocena!$L$13,Ocena!$L$24,Ocena!$L$35,Ocena!$L$46,Ocena!$L$57,Ocena!$L$68,Ocena!$L$79,Ocena!$L$90,Ocena!$L$101,Ocena!$L$112,Ocena!$L$123,Ocena!$L$134,Ocena!$L$145,Ocena!$L$156,Ocena!$L$167,Ocena!$L$178,Ocena!$L$189,Ocena!$L$200,Ocena!$L$211,Ocena!$L$222,Ocena!$L$233,Ocena!$L$244,Ocena!$L$255,Ocena!$L$266,Ocena!$L$277,Ocena!$L$288,Ocena!$L$299,Ocena!$L$310,Ocena!$L$321,Ocena!$L$332,Ocena!$L$343,Ocena!$L$354,Ocena!$L$355,Ocena!$L$376,Ocena!$L$387,Ocena!$L$398,Ocena!$L$409))</f>
        <v>2</v>
      </c>
      <c r="L3" s="9">
        <f>IF(E3=0,"",AVERAGE(Ocena!$L$2,Ocena!$L$13,Ocena!$L$24,Ocena!$L$35,Ocena!$L$46,Ocena!$L$57,Ocena!$L$68,Ocena!$L$79,Ocena!$L$90,Ocena!$L$101,Ocena!$L$112,Ocena!$L$123,Ocena!$L$134,Ocena!$L$145,Ocena!$L$156,Ocena!$L$167,Ocena!$L$178,Ocena!$L$189,Ocena!$L$200,Ocena!$L$211,Ocena!$L$222,Ocena!$L$233,Ocena!$L$244,Ocena!$L$255,Ocena!$L$266,Ocena!$L$277,Ocena!$L$288,Ocena!$L$299,Ocena!$L$310,Ocena!$L$321,Ocena!$L$332,Ocena!$L$343,Ocena!$L$354,Ocena!$L$355,Ocena!$L$376,Ocena!$L$387,Ocena!$L$398,Ocena!$L$409))</f>
        <v>1.8421052631578947</v>
      </c>
      <c r="M3" s="9">
        <f>IF(E3=0,"",MEDIAN(Ocena!$M$2,Ocena!$M$13,Ocena!$M$24,Ocena!$M$35,Ocena!$M$46,Ocena!$M$57,Ocena!$M$68,Ocena!$M$79,Ocena!$M$90,Ocena!$M$101,Ocena!$M$112,Ocena!$M$123,Ocena!$M$134,Ocena!$M$145,Ocena!$M$156,Ocena!$M$167,Ocena!$M$178,Ocena!$M$189,Ocena!$M$200,Ocena!$M$211,Ocena!$M$222,Ocena!$M$233,Ocena!$M$244,Ocena!$M$255,Ocena!$M$266,Ocena!$M$277,Ocena!$M$288,Ocena!$M$299,Ocena!$M$310,Ocena!$M$321,Ocena!$M$332,Ocena!$M$343,Ocena!$M$354,Ocena!$M$355,Ocena!$M$376,Ocena!$M$387,Ocena!$M$398,Ocena!$M$409))</f>
        <v>2</v>
      </c>
      <c r="N3" s="9">
        <f>IF(E3=0,"",AVERAGE(Ocena!$M$2,Ocena!$M$13,Ocena!$M$24,Ocena!$M$35,Ocena!$M$46,Ocena!$M$57,Ocena!$M$68,Ocena!$M$79,Ocena!$M$90,Ocena!$M$101,Ocena!$M$112,Ocena!$M$123,Ocena!$M$134,Ocena!$M$145,Ocena!$M$156,Ocena!$M$167,Ocena!$M$178,Ocena!$M$189,Ocena!$M$200,Ocena!$M$211,Ocena!$M$222,Ocena!$M$233,Ocena!$M$244,Ocena!$M$255,Ocena!$M$266,Ocena!$M$277,Ocena!$M$288,Ocena!$M$299,Ocena!$M$310,Ocena!$M$321,Ocena!$M$332,Ocena!$M$343,Ocena!$M$354,Ocena!$M$355,Ocena!$M$376,Ocena!$M$387,Ocena!$M$398,Ocena!$M$409))</f>
        <v>2.236842105263158</v>
      </c>
      <c r="O3" s="9">
        <f>IF(E3=0,"",MEDIAN(Ocena!$N$2,Ocena!$N$13,Ocena!$N$24,Ocena!$N$35,Ocena!$N$46,Ocena!$N$57,Ocena!$N$68,Ocena!$N$79,Ocena!$N$90,Ocena!$N$101,Ocena!$N$112,Ocena!$N$123,Ocena!$N$134,Ocena!$N$145,Ocena!$N$156,Ocena!$N$167,Ocena!$N$178,Ocena!$N$189,Ocena!$N$200,Ocena!$N$211,Ocena!$N$222,Ocena!$N$233,Ocena!$N$244,Ocena!$N$255,Ocena!$N$266,Ocena!$N$277,Ocena!$N$288,Ocena!$N$299,Ocena!$N$310,Ocena!$N$321,Ocena!$N$332,Ocena!$N$343,Ocena!$N$354,Ocena!$N$355,Ocena!$N$376,Ocena!$N$387,Ocena!$N$398,Ocena!$N$409))</f>
        <v>1</v>
      </c>
      <c r="P3" s="9">
        <f>IF(E3=0,"",AVERAGE(Ocena!$N$2,Ocena!$N$13,Ocena!$N$24,Ocena!$N$35,Ocena!$N$46,Ocena!$N$57,Ocena!$N$68,Ocena!$N$79,Ocena!$N$90,Ocena!$N$101,Ocena!$N$112,Ocena!$N$123,Ocena!$N$134,Ocena!$N$145,Ocena!$N$156,Ocena!$N$167,Ocena!$N$178,Ocena!$N$189,Ocena!$N$200,Ocena!$N$211,Ocena!$N$222,Ocena!$N$233,Ocena!$N$244,Ocena!$N$255,Ocena!$N$266,Ocena!$N$277,Ocena!$N$288,Ocena!$N$299,Ocena!$N$310,Ocena!$N$321,Ocena!$N$332,Ocena!$N$343,Ocena!$N$354,Ocena!$N$355,Ocena!$N$376,Ocena!$N$387,Ocena!$N$398,Ocena!$N$409))</f>
        <v>1.368421052631579</v>
      </c>
      <c r="Q3" s="9">
        <f>IF(E3=0,"",MIN(Ocena!$O$2,Ocena!$O$13,Ocena!$O$24,Ocena!$O$35,Ocena!$O$46,Ocena!$O$57,Ocena!$O$68,Ocena!$O$79,Ocena!$O$90,Ocena!$O$101,Ocena!$O$112,Ocena!$O$123,Ocena!$O$134,Ocena!$O$145,Ocena!$O$156,Ocena!$O$167,Ocena!$O$178,Ocena!$O$189,Ocena!$O$200,Ocena!$O$211,Ocena!$O$222,Ocena!$O$233,Ocena!$O$244,Ocena!$O$255,Ocena!$O$266,Ocena!$O$277,Ocena!$O$288,Ocena!$O$299,Ocena!$O$310,Ocena!$O$321,Ocena!$O$332,Ocena!$O$343,Ocena!$O$354,Ocena!$O$355,Ocena!$O$376,Ocena!$O$387,Ocena!$O$398,Ocena!$O$409))</f>
        <v>3</v>
      </c>
      <c r="R3" s="9">
        <f>IF(E3=0,"",MAX(Ocena!$O$2,Ocena!$O$13,Ocena!$O$24,Ocena!$O$35,Ocena!$O$46,Ocena!$O$57,Ocena!$O$68,Ocena!$O$79,Ocena!$O$90,Ocena!$O$101,Ocena!$O$112,Ocena!$O$123,Ocena!$O$134,Ocena!$O$145,Ocena!$O$156,Ocena!$O$167,Ocena!$O$178,Ocena!$O$189,Ocena!$O$200,Ocena!$O$211,Ocena!$O$222,Ocena!$O$233,Ocena!$O$244,Ocena!$O$255,Ocena!$O$266,Ocena!$O$277,Ocena!$O$288,Ocena!$O$299,Ocena!$O$310,Ocena!$O$321,Ocena!$O$332,Ocena!$O$343,Ocena!$O$354,Ocena!$O$355,Ocena!$O$376,Ocena!$O$387,Ocena!$O$398,Ocena!$O$409))</f>
        <v>10</v>
      </c>
      <c r="S3" s="10">
        <f>IF(AND(COUNT(Ocena!$K$2:$N$2)=4,COUNTIF(Ocena!$K$2:$N$2,0)=4),1,0)+IF(AND(COUNT(Ocena!$K$13:$N$13)=4,COUNTIF(Ocena!$K$13:$N$13,0)=4),1,0)+IF(AND(COUNT(Ocena!$K$24:$N$24)=4,COUNTIF(Ocena!$K$24:$N$24,0)=4),1,0)+IF(AND(COUNT(Ocena!$K$35:$N$35)=4,COUNTIF(Ocena!$K$35:$N$35,0)=4),1,0)+IF(AND(COUNT(Ocena!$K$46:$N$46)=4,COUNTIF(Ocena!$K$46:$N$46,0)=4),1,0)+IF(AND(COUNT(Ocena!$K$57:$N$57)=4,COUNTIF(Ocena!$K$57:$N$57,0)=4),1,0)+IF(AND(COUNT(Ocena!$K$68:$N$68)=4,COUNTIF(Ocena!$K$68:$N$68,0)=4),1,0)+IF(AND(COUNT(Ocena!$K$79:$N$79)=4,COUNTIF(Ocena!$K$79:$N$79,0)=4),1,0)+IF(AND(COUNT(Ocena!$K$90:$N$90)=4,COUNTIF(Ocena!$K$90:$N$90,0)=4),1,0)+IF(AND(COUNT(Ocena!$K$101:$N$101)=4,COUNTIF(Ocena!$K$101:$N$101,0)=4),1,0)+IF(AND(COUNT(Ocena!$K$112:$N$112)=4,COUNTIF(Ocena!$K$112:$N$112,0)=4),1,0)+IF(AND(COUNT(Ocena!$K$123:$N$123)=4,COUNTIF(Ocena!$K$123:$N$123,0)=4),1,0)+IF(AND(COUNT(Ocena!$K$134:$N$134)=4,COUNTIF(Ocena!$K$134:$N$134,0)=4),1,0)+IF(AND(COUNT(Ocena!$K$145:$N$145)=4,COUNTIF(Ocena!$K$145:$N$145,0)=4),1,0)+IF(AND(COUNT(Ocena!$K$156:$N$156)=4,COUNTIF(Ocena!$K$156:$N$156,0)=4),1,0)+IF(AND(COUNT(Ocena!$K$167:$N$167)=4,COUNTIF(Ocena!$K$167:$N$167,0)=4),1,0)+IF(AND(COUNT(Ocena!$K$178:$N$178)=4,COUNTIF(Ocena!$K$178:$N$178,0)=4),1,0)+IF(AND(COUNT(Ocena!$K$189:$N$189)=4,COUNTIF(Ocena!$K$189:$N$189,0)=4),1,0)+IF(AND(COUNT(Ocena!$K$200:$N$200)=4,COUNTIF(Ocena!$K$200:$N$200,0)=4),1,0)+IF(AND(COUNT(Ocena!$K$211:$N$211)=4,COUNTIF(Ocena!$K$211:$N$211,0)=4),1,0)+IF(AND(COUNT(Ocena!$K$222:$N$222)=4,COUNTIF(Ocena!$K$222:$N$222,0)=4),1,0)+IF(AND(COUNT(Ocena!$K$233:$N$233)=4,COUNTIF(Ocena!$K$233:$N$233,0)=4),1,0)+IF(AND(COUNT(Ocena!$K$244:$N$244)=4,COUNTIF(Ocena!$K$244:$N$244,0)=4),1,0)+IF(AND(COUNT(Ocena!$K$255:$N$255)=4,COUNTIF(Ocena!$K$255:$N$255,0)=4),1,0)+IF(AND(COUNT(Ocena!$K$266:$N$266)=4,COUNTIF(Ocena!$K$266:$N$266,0)=4),1,0)+IF(AND(COUNT(Ocena!$K$277:$N$277)=4,COUNTIF(Ocena!$K$277:$N$277,0)=4),1,0)+IF(AND(COUNT(Ocena!$K$288:$N$288)=4,COUNTIF(Ocena!$K$288:$N$288,0)=4),1,0)+IF(AND(COUNT(Ocena!$K$299:$N$299)=4,COUNTIF(Ocena!$K$299:$N$299,0)=4),1,0)+IF(AND(COUNT(Ocena!$K$310:$N$310)=4,COUNTIF(Ocena!$K$310:$N$310,0)=4),1,0)+IF(AND(COUNT(Ocena!$K$321:$N$321)=4,COUNTIF(Ocena!$K$321:$N$321,0)=4),1,0)+IF(AND(COUNT(Ocena!$K$332:$N$332)=4,COUNTIF(Ocena!$K$332:$N$332,0)=4),1,0)+IF(AND(COUNT(Ocena!$K$343:$N$343)=4,COUNTIF(Ocena!$K$343:$N$343,0)=4),1,0)+IF(AND(COUNT(Ocena!$K$354:$N$354)=4,COUNTIF(Ocena!$K$354:$N$354,0)=4),1,0)+IF(AND(COUNT(Ocena!$K$355:$N$355)=4,COUNTIF(Ocena!$K$355:$N$355,0)=4),1,0)+IF(AND(COUNT(Ocena!$K$376:$N$376)=4,COUNTIF(Ocena!$K$376:$N$376,0)=4),1,0)+IF(AND(COUNT(Ocena!$K$387:$N$387)=4,COUNTIF(Ocena!$K$387:$N$387,0)=4),1,0)+IF(AND(COUNT(Ocena!$K$398:$N$398)=4,COUNTIF(Ocena!$K$398:$N$398,0)=4),1,0)+IF(AND(COUNT(Ocena!$K$409:$N$409)=4,COUNTIF(Ocena!$K$409:$N$409,0)=4),1,0)</f>
        <v>0</v>
      </c>
      <c r="T3" s="8">
        <f t="shared" ref="T3:T13" si="1">IFERROR(S3/D3,0)</f>
        <v>0</v>
      </c>
    </row>
    <row r="4" spans="1:20" ht="27.95" customHeight="1" x14ac:dyDescent="0.25">
      <c r="A4" s="2" t="s">
        <v>23</v>
      </c>
      <c r="B4" s="10">
        <v>2</v>
      </c>
      <c r="C4" s="10">
        <v>2</v>
      </c>
      <c r="D4" s="10">
        <v>38</v>
      </c>
      <c r="E4" s="10">
        <f>COUNT(Ocena!$O$4,Ocena!$O$15,Ocena!$O$26,Ocena!$O$37,Ocena!$O$48,Ocena!$O$59,Ocena!$O$70,Ocena!$O$81,Ocena!$O$92,Ocena!$O$103,Ocena!$O$114,Ocena!$O$125,Ocena!$O$136,Ocena!$O$147,Ocena!$O$158,Ocena!$O$169,Ocena!$O$180,Ocena!$O$191,Ocena!$O$202,Ocena!$O$213,Ocena!$O$224,Ocena!$O$235,Ocena!$O$246,Ocena!$O$257,Ocena!$O$268,Ocena!$O$279,Ocena!$O$290,Ocena!$O$301,Ocena!$O$312,Ocena!$O$323,Ocena!$O$334,Ocena!$O$345,Ocena!$O$358,Ocena!$O$359,Ocena!$O$378,Ocena!$O$389,Ocena!$O$400,Ocena!$O$411)</f>
        <v>38</v>
      </c>
      <c r="F4" s="8">
        <f t="shared" si="0"/>
        <v>1</v>
      </c>
      <c r="G4" s="9">
        <f>IF(E4=0,"",MEDIAN(Ocena!$O$4,Ocena!$O$15,Ocena!$O$26,Ocena!$O$37,Ocena!$O$48,Ocena!$O$59,Ocena!$O$70,Ocena!$O$81,Ocena!$O$92,Ocena!$O$103,Ocena!$O$114,Ocena!$O$125,Ocena!$O$136,Ocena!$O$147,Ocena!$O$158,Ocena!$O$169,Ocena!$O$180,Ocena!$O$191,Ocena!$O$202,Ocena!$O$213,Ocena!$O$224,Ocena!$O$235,Ocena!$O$246,Ocena!$O$257,Ocena!$O$268,Ocena!$O$279,Ocena!$O$290,Ocena!$O$301,Ocena!$O$312,Ocena!$O$323,Ocena!$O$334,Ocena!$O$345,Ocena!$O$358,Ocena!$O$359,Ocena!$O$378,Ocena!$O$389,Ocena!$O$400,Ocena!$O$411))</f>
        <v>6</v>
      </c>
      <c r="H4" s="9">
        <f>IF(E4=0,"",AVERAGE(Ocena!$O$4,Ocena!$O$15,Ocena!$O$26,Ocena!$O$37,Ocena!$O$48,Ocena!$O$59,Ocena!$O$70,Ocena!$O$81,Ocena!$O$92,Ocena!$O$103,Ocena!$O$114,Ocena!$O$125,Ocena!$O$136,Ocena!$O$147,Ocena!$O$158,Ocena!$O$169,Ocena!$O$180,Ocena!$O$191,Ocena!$O$202,Ocena!$O$213,Ocena!$O$224,Ocena!$O$235,Ocena!$O$246,Ocena!$O$257,Ocena!$O$268,Ocena!$O$279,Ocena!$O$290,Ocena!$O$301,Ocena!$O$312,Ocena!$O$323,Ocena!$O$334,Ocena!$O$345,Ocena!$O$358,Ocena!$O$359,Ocena!$O$378,Ocena!$O$389,Ocena!$O$400,Ocena!$O$411))</f>
        <v>6.4473684210526319</v>
      </c>
      <c r="I4" s="9">
        <f>IF(E4=0,"",MEDIAN(Ocena!$K$4,Ocena!$K$15,Ocena!$K$26,Ocena!$K$37,Ocena!$K$48,Ocena!$K$59,Ocena!$K$70,Ocena!$K$81,Ocena!$K$92,Ocena!$K$103,Ocena!$K$114,Ocena!$K$125,Ocena!$K$136,Ocena!$K$147,Ocena!$K$158,Ocena!$K$169,Ocena!$K$180,Ocena!$K$191,Ocena!$K$202,Ocena!$K$213,Ocena!$K$224,Ocena!$K$235,Ocena!$K$246,Ocena!$K$257,Ocena!$K$268,Ocena!$K$279,Ocena!$K$290,Ocena!$K$301,Ocena!$K$312,Ocena!$K$323,Ocena!$K$334,Ocena!$K$345,Ocena!$K$358,Ocena!$K$359,Ocena!$K$378,Ocena!$K$389,Ocena!$K$400,Ocena!$K$411))</f>
        <v>1</v>
      </c>
      <c r="J4" s="9">
        <f>IF(E4=0,"",AVERAGE(Ocena!$K$4,Ocena!$K$15,Ocena!$K$26,Ocena!$K$37,Ocena!$K$48,Ocena!$K$59,Ocena!$K$70,Ocena!$K$81,Ocena!$K$92,Ocena!$K$103,Ocena!$K$114,Ocena!$K$125,Ocena!$K$136,Ocena!$K$147,Ocena!$K$158,Ocena!$K$169,Ocena!$K$180,Ocena!$K$191,Ocena!$K$202,Ocena!$K$213,Ocena!$K$224,Ocena!$K$235,Ocena!$K$246,Ocena!$K$257,Ocena!$K$268,Ocena!$K$279,Ocena!$K$290,Ocena!$K$301,Ocena!$K$312,Ocena!$K$323,Ocena!$K$334,Ocena!$K$345,Ocena!$K$358,Ocena!$K$359,Ocena!$K$378,Ocena!$K$389,Ocena!$K$400,Ocena!$K$411))</f>
        <v>1.236842105263158</v>
      </c>
      <c r="K4" s="9">
        <f>IF(E4=0,"",MEDIAN(Ocena!$L$4,Ocena!$L$15,Ocena!$L$26,Ocena!$L$37,Ocena!$L$48,Ocena!$L$59,Ocena!$L$70,Ocena!$L$81,Ocena!$L$92,Ocena!$L$103,Ocena!$L$114,Ocena!$L$125,Ocena!$L$136,Ocena!$L$147,Ocena!$L$158,Ocena!$L$169,Ocena!$L$180,Ocena!$L$191,Ocena!$L$202,Ocena!$L$213,Ocena!$L$224,Ocena!$L$235,Ocena!$L$246,Ocena!$L$257,Ocena!$L$268,Ocena!$L$279,Ocena!$L$290,Ocena!$L$301,Ocena!$L$312,Ocena!$L$323,Ocena!$L$334,Ocena!$L$345,Ocena!$L$358,Ocena!$L$359,Ocena!$L$378,Ocena!$L$389,Ocena!$L$400,Ocena!$L$411))</f>
        <v>2</v>
      </c>
      <c r="L4" s="9">
        <f>IF(E4=0,"",AVERAGE(Ocena!$L$4,Ocena!$L$15,Ocena!$L$26,Ocena!$L$37,Ocena!$L$48,Ocena!$L$59,Ocena!$L$70,Ocena!$L$81,Ocena!$L$92,Ocena!$L$103,Ocena!$L$114,Ocena!$L$125,Ocena!$L$136,Ocena!$L$147,Ocena!$L$158,Ocena!$L$169,Ocena!$L$180,Ocena!$L$191,Ocena!$L$202,Ocena!$L$213,Ocena!$L$224,Ocena!$L$235,Ocena!$L$246,Ocena!$L$257,Ocena!$L$268,Ocena!$L$279,Ocena!$L$290,Ocena!$L$301,Ocena!$L$312,Ocena!$L$323,Ocena!$L$334,Ocena!$L$345,Ocena!$L$358,Ocena!$L$359,Ocena!$L$378,Ocena!$L$389,Ocena!$L$400,Ocena!$L$411))</f>
        <v>1.7105263157894737</v>
      </c>
      <c r="M4" s="9">
        <f>IF(E4=0,"",MEDIAN(Ocena!$M$4,Ocena!$M$15,Ocena!$M$26,Ocena!$M$37,Ocena!$M$48,Ocena!$M$59,Ocena!$M$70,Ocena!$M$81,Ocena!$M$92,Ocena!$M$103,Ocena!$M$114,Ocena!$M$125,Ocena!$M$136,Ocena!$M$147,Ocena!$M$158,Ocena!$M$169,Ocena!$M$180,Ocena!$M$191,Ocena!$M$202,Ocena!$M$213,Ocena!$M$224,Ocena!$M$235,Ocena!$M$246,Ocena!$M$257,Ocena!$M$268,Ocena!$M$279,Ocena!$M$290,Ocena!$M$301,Ocena!$M$312,Ocena!$M$323,Ocena!$M$334,Ocena!$M$345,Ocena!$M$358,Ocena!$M$359,Ocena!$M$378,Ocena!$M$389,Ocena!$M$400,Ocena!$M$411))</f>
        <v>2</v>
      </c>
      <c r="N4" s="9">
        <f>IF(E4=0,"",AVERAGE(Ocena!$M$4,Ocena!$M$15,Ocena!$M$26,Ocena!$M$37,Ocena!$M$48,Ocena!$M$59,Ocena!$M$70,Ocena!$M$81,Ocena!$M$92,Ocena!$M$103,Ocena!$M$114,Ocena!$M$125,Ocena!$M$136,Ocena!$M$147,Ocena!$M$158,Ocena!$M$169,Ocena!$M$180,Ocena!$M$191,Ocena!$M$202,Ocena!$M$213,Ocena!$M$224,Ocena!$M$235,Ocena!$M$246,Ocena!$M$257,Ocena!$M$268,Ocena!$M$279,Ocena!$M$290,Ocena!$M$301,Ocena!$M$312,Ocena!$M$323,Ocena!$M$334,Ocena!$M$345,Ocena!$M$358,Ocena!$M$359,Ocena!$M$378,Ocena!$M$389,Ocena!$M$400,Ocena!$M$411))</f>
        <v>2.0789473684210527</v>
      </c>
      <c r="O4" s="9">
        <f>IF(E4=0,"",MEDIAN(Ocena!$N$4,Ocena!$N$15,Ocena!$N$26,Ocena!$N$37,Ocena!$N$48,Ocena!$N$59,Ocena!$N$70,Ocena!$N$81,Ocena!$N$92,Ocena!$N$103,Ocena!$N$114,Ocena!$N$125,Ocena!$N$136,Ocena!$N$147,Ocena!$N$158,Ocena!$N$169,Ocena!$N$180,Ocena!$N$191,Ocena!$N$202,Ocena!$N$213,Ocena!$N$224,Ocena!$N$235,Ocena!$N$246,Ocena!$N$257,Ocena!$N$268,Ocena!$N$279,Ocena!$N$290,Ocena!$N$301,Ocena!$N$312,Ocena!$N$323,Ocena!$N$334,Ocena!$N$345,Ocena!$N$358,Ocena!$N$359,Ocena!$N$378,Ocena!$N$389,Ocena!$N$400,Ocena!$N$411))</f>
        <v>1</v>
      </c>
      <c r="P4" s="9">
        <f>IF(E4=0,"",AVERAGE(Ocena!$N$4,Ocena!$N$15,Ocena!$N$26,Ocena!$N$37,Ocena!$N$48,Ocena!$N$59,Ocena!$N$70,Ocena!$N$81,Ocena!$N$92,Ocena!$N$103,Ocena!$N$114,Ocena!$N$125,Ocena!$N$136,Ocena!$N$147,Ocena!$N$158,Ocena!$N$169,Ocena!$N$180,Ocena!$N$191,Ocena!$N$202,Ocena!$N$213,Ocena!$N$224,Ocena!$N$235,Ocena!$N$246,Ocena!$N$257,Ocena!$N$268,Ocena!$N$279,Ocena!$N$290,Ocena!$N$301,Ocena!$N$312,Ocena!$N$323,Ocena!$N$334,Ocena!$N$345,Ocena!$N$358,Ocena!$N$359,Ocena!$N$378,Ocena!$N$389,Ocena!$N$400,Ocena!$N$411))</f>
        <v>1.4210526315789473</v>
      </c>
      <c r="Q4" s="9">
        <f>IF(E4=0,"",MIN(Ocena!$O$4,Ocena!$O$15,Ocena!$O$26,Ocena!$O$37,Ocena!$O$48,Ocena!$O$59,Ocena!$O$70,Ocena!$O$81,Ocena!$O$92,Ocena!$O$103,Ocena!$O$114,Ocena!$O$125,Ocena!$O$136,Ocena!$O$147,Ocena!$O$158,Ocena!$O$169,Ocena!$O$180,Ocena!$O$191,Ocena!$O$202,Ocena!$O$213,Ocena!$O$224,Ocena!$O$235,Ocena!$O$246,Ocena!$O$257,Ocena!$O$268,Ocena!$O$279,Ocena!$O$290,Ocena!$O$301,Ocena!$O$312,Ocena!$O$323,Ocena!$O$334,Ocena!$O$345,Ocena!$O$358,Ocena!$O$359,Ocena!$O$378,Ocena!$O$389,Ocena!$O$400,Ocena!$O$411))</f>
        <v>3</v>
      </c>
      <c r="R4" s="9">
        <f>IF(E4=0,"",MAX(Ocena!$O$4,Ocena!$O$15,Ocena!$O$26,Ocena!$O$37,Ocena!$O$48,Ocena!$O$59,Ocena!$O$70,Ocena!$O$81,Ocena!$O$92,Ocena!$O$103,Ocena!$O$114,Ocena!$O$125,Ocena!$O$136,Ocena!$O$147,Ocena!$O$158,Ocena!$O$169,Ocena!$O$180,Ocena!$O$191,Ocena!$O$202,Ocena!$O$213,Ocena!$O$224,Ocena!$O$235,Ocena!$O$246,Ocena!$O$257,Ocena!$O$268,Ocena!$O$279,Ocena!$O$290,Ocena!$O$301,Ocena!$O$312,Ocena!$O$323,Ocena!$O$334,Ocena!$O$345,Ocena!$O$358,Ocena!$O$359,Ocena!$O$378,Ocena!$O$389,Ocena!$O$400,Ocena!$O$411))</f>
        <v>10</v>
      </c>
      <c r="S4" s="10">
        <f>IF(AND(COUNT(Ocena!$K$4:$N$4)=4,COUNTIF(Ocena!$K$4:$N$4,0)=4),1,0)+IF(AND(COUNT(Ocena!$K$15:$N$15)=4,COUNTIF(Ocena!$K$15:$N$15,0)=4),1,0)+IF(AND(COUNT(Ocena!$K$26:$N$26)=4,COUNTIF(Ocena!$K$26:$N$26,0)=4),1,0)+IF(AND(COUNT(Ocena!$K$37:$N$37)=4,COUNTIF(Ocena!$K$37:$N$37,0)=4),1,0)+IF(AND(COUNT(Ocena!$K$48:$N$48)=4,COUNTIF(Ocena!$K$48:$N$48,0)=4),1,0)+IF(AND(COUNT(Ocena!$K$59:$N$59)=4,COUNTIF(Ocena!$K$59:$N$59,0)=4),1,0)+IF(AND(COUNT(Ocena!$K$70:$N$70)=4,COUNTIF(Ocena!$K$70:$N$70,0)=4),1,0)+IF(AND(COUNT(Ocena!$K$81:$N$81)=4,COUNTIF(Ocena!$K$81:$N$81,0)=4),1,0)+IF(AND(COUNT(Ocena!$K$92:$N$92)=4,COUNTIF(Ocena!$K$92:$N$92,0)=4),1,0)+IF(AND(COUNT(Ocena!$K$103:$N$103)=4,COUNTIF(Ocena!$K$103:$N$103,0)=4),1,0)+IF(AND(COUNT(Ocena!$K$114:$N$114)=4,COUNTIF(Ocena!$K$114:$N$114,0)=4),1,0)+IF(AND(COUNT(Ocena!$K$125:$N$125)=4,COUNTIF(Ocena!$K$125:$N$125,0)=4),1,0)+IF(AND(COUNT(Ocena!$K$136:$N$136)=4,COUNTIF(Ocena!$K$136:$N$136,0)=4),1,0)+IF(AND(COUNT(Ocena!$K$147:$N$147)=4,COUNTIF(Ocena!$K$147:$N$147,0)=4),1,0)+IF(AND(COUNT(Ocena!$K$158:$N$158)=4,COUNTIF(Ocena!$K$158:$N$158,0)=4),1,0)+IF(AND(COUNT(Ocena!$K$169:$N$169)=4,COUNTIF(Ocena!$K$169:$N$169,0)=4),1,0)+IF(AND(COUNT(Ocena!$K$180:$N$180)=4,COUNTIF(Ocena!$K$180:$N$180,0)=4),1,0)+IF(AND(COUNT(Ocena!$K$191:$N$191)=4,COUNTIF(Ocena!$K$191:$N$191,0)=4),1,0)+IF(AND(COUNT(Ocena!$K$202:$N$202)=4,COUNTIF(Ocena!$K$202:$N$202,0)=4),1,0)+IF(AND(COUNT(Ocena!$K$213:$N$213)=4,COUNTIF(Ocena!$K$213:$N$213,0)=4),1,0)+IF(AND(COUNT(Ocena!$K$224:$N$224)=4,COUNTIF(Ocena!$K$224:$N$224,0)=4),1,0)+IF(AND(COUNT(Ocena!$K$235:$N$235)=4,COUNTIF(Ocena!$K$235:$N$235,0)=4),1,0)+IF(AND(COUNT(Ocena!$K$246:$N$246)=4,COUNTIF(Ocena!$K$246:$N$246,0)=4),1,0)+IF(AND(COUNT(Ocena!$K$257:$N$257)=4,COUNTIF(Ocena!$K$257:$N$257,0)=4),1,0)+IF(AND(COUNT(Ocena!$K$268:$N$268)=4,COUNTIF(Ocena!$K$268:$N$268,0)=4),1,0)+IF(AND(COUNT(Ocena!$K$279:$N$279)=4,COUNTIF(Ocena!$K$279:$N$279,0)=4),1,0)+IF(AND(COUNT(Ocena!$K$290:$N$290)=4,COUNTIF(Ocena!$K$290:$N$290,0)=4),1,0)+IF(AND(COUNT(Ocena!$K$301:$N$301)=4,COUNTIF(Ocena!$K$301:$N$301,0)=4),1,0)+IF(AND(COUNT(Ocena!$K$312:$N$312)=4,COUNTIF(Ocena!$K$312:$N$312,0)=4),1,0)+IF(AND(COUNT(Ocena!$K$323:$N$323)=4,COUNTIF(Ocena!$K$323:$N$323,0)=4),1,0)+IF(AND(COUNT(Ocena!$K$334:$N$334)=4,COUNTIF(Ocena!$K$334:$N$334,0)=4),1,0)+IF(AND(COUNT(Ocena!$K$345:$N$345)=4,COUNTIF(Ocena!$K$345:$N$345,0)=4),1,0)+IF(AND(COUNT(Ocena!$K$358:$N$358)=4,COUNTIF(Ocena!$K$358:$N$358,0)=4),1,0)+IF(AND(COUNT(Ocena!$K$359:$N$359)=4,COUNTIF(Ocena!$K$359:$N$359,0)=4),1,0)+IF(AND(COUNT(Ocena!$K$378:$N$378)=4,COUNTIF(Ocena!$K$378:$N$378,0)=4),1,0)+IF(AND(COUNT(Ocena!$K$389:$N$389)=4,COUNTIF(Ocena!$K$389:$N$389,0)=4),1,0)+IF(AND(COUNT(Ocena!$K$400:$N$400)=4,COUNTIF(Ocena!$K$400:$N$400,0)=4),1,0)+IF(AND(COUNT(Ocena!$K$411:$N$411)=4,COUNTIF(Ocena!$K$411:$N$411,0)=4),1,0)</f>
        <v>0</v>
      </c>
      <c r="T4" s="8">
        <f t="shared" si="1"/>
        <v>0</v>
      </c>
    </row>
    <row r="5" spans="1:20" ht="27.95" customHeight="1" x14ac:dyDescent="0.25">
      <c r="A5" s="2" t="s">
        <v>23</v>
      </c>
      <c r="B5" s="10">
        <v>4</v>
      </c>
      <c r="C5" s="10">
        <v>4</v>
      </c>
      <c r="D5" s="10">
        <v>38</v>
      </c>
      <c r="E5" s="10">
        <f>COUNT(Ocena!$O$7,Ocena!$O$18,Ocena!$O$29,Ocena!$O$40,Ocena!$O$51,Ocena!$O$62,Ocena!$O$73,Ocena!$O$84,Ocena!$O$95,Ocena!$O$106,Ocena!$O$117,Ocena!$O$128,Ocena!$O$139,Ocena!$O$150,Ocena!$O$161,Ocena!$O$172,Ocena!$O$183,Ocena!$O$194,Ocena!$O$205,Ocena!$O$216,Ocena!$O$227,Ocena!$O$238,Ocena!$O$249,Ocena!$O$260,Ocena!$O$271,Ocena!$O$282,Ocena!$O$293,Ocena!$O$304,Ocena!$O$315,Ocena!$O$326,Ocena!$O$337,Ocena!$O$348,Ocena!$O$364,Ocena!$O$365,Ocena!$O$381,Ocena!$O$392,Ocena!$O$403,Ocena!$O$414)</f>
        <v>38</v>
      </c>
      <c r="F5" s="8">
        <f t="shared" si="0"/>
        <v>1</v>
      </c>
      <c r="G5" s="9">
        <f>IF(E5=0,"",MEDIAN(Ocena!$O$7,Ocena!$O$18,Ocena!$O$29,Ocena!$O$40,Ocena!$O$51,Ocena!$O$62,Ocena!$O$73,Ocena!$O$84,Ocena!$O$95,Ocena!$O$106,Ocena!$O$117,Ocena!$O$128,Ocena!$O$139,Ocena!$O$150,Ocena!$O$161,Ocena!$O$172,Ocena!$O$183,Ocena!$O$194,Ocena!$O$205,Ocena!$O$216,Ocena!$O$227,Ocena!$O$238,Ocena!$O$249,Ocena!$O$260,Ocena!$O$271,Ocena!$O$282,Ocena!$O$293,Ocena!$O$304,Ocena!$O$315,Ocena!$O$326,Ocena!$O$337,Ocena!$O$348,Ocena!$O$364,Ocena!$O$365,Ocena!$O$381,Ocena!$O$392,Ocena!$O$403,Ocena!$O$414))</f>
        <v>6</v>
      </c>
      <c r="H5" s="9">
        <f>IF(E5=0,"",AVERAGE(Ocena!$O$7,Ocena!$O$18,Ocena!$O$29,Ocena!$O$40,Ocena!$O$51,Ocena!$O$62,Ocena!$O$73,Ocena!$O$84,Ocena!$O$95,Ocena!$O$106,Ocena!$O$117,Ocena!$O$128,Ocena!$O$139,Ocena!$O$150,Ocena!$O$161,Ocena!$O$172,Ocena!$O$183,Ocena!$O$194,Ocena!$O$205,Ocena!$O$216,Ocena!$O$227,Ocena!$O$238,Ocena!$O$249,Ocena!$O$260,Ocena!$O$271,Ocena!$O$282,Ocena!$O$293,Ocena!$O$304,Ocena!$O$315,Ocena!$O$326,Ocena!$O$337,Ocena!$O$348,Ocena!$O$364,Ocena!$O$365,Ocena!$O$381,Ocena!$O$392,Ocena!$O$403,Ocena!$O$414))</f>
        <v>6.2368421052631575</v>
      </c>
      <c r="I5" s="9">
        <f>IF(E5=0,"",MEDIAN(Ocena!$K$7,Ocena!$K$18,Ocena!$K$29,Ocena!$K$40,Ocena!$K$51,Ocena!$K$62,Ocena!$K$73,Ocena!$K$84,Ocena!$K$95,Ocena!$K$106,Ocena!$K$117,Ocena!$K$128,Ocena!$K$139,Ocena!$K$150,Ocena!$K$161,Ocena!$K$172,Ocena!$K$183,Ocena!$K$194,Ocena!$K$205,Ocena!$K$216,Ocena!$K$227,Ocena!$K$238,Ocena!$K$249,Ocena!$K$260,Ocena!$K$271,Ocena!$K$282,Ocena!$K$293,Ocena!$K$304,Ocena!$K$315,Ocena!$K$326,Ocena!$K$337,Ocena!$K$348,Ocena!$K$364,Ocena!$K$365,Ocena!$K$381,Ocena!$K$392,Ocena!$K$403,Ocena!$K$414))</f>
        <v>1</v>
      </c>
      <c r="J5" s="9">
        <f>IF(E5=0,"",AVERAGE(Ocena!$K$7,Ocena!$K$18,Ocena!$K$29,Ocena!$K$40,Ocena!$K$51,Ocena!$K$62,Ocena!$K$73,Ocena!$K$84,Ocena!$K$95,Ocena!$K$106,Ocena!$K$117,Ocena!$K$128,Ocena!$K$139,Ocena!$K$150,Ocena!$K$161,Ocena!$K$172,Ocena!$K$183,Ocena!$K$194,Ocena!$K$205,Ocena!$K$216,Ocena!$K$227,Ocena!$K$238,Ocena!$K$249,Ocena!$K$260,Ocena!$K$271,Ocena!$K$282,Ocena!$K$293,Ocena!$K$304,Ocena!$K$315,Ocena!$K$326,Ocena!$K$337,Ocena!$K$348,Ocena!$K$364,Ocena!$K$365,Ocena!$K$381,Ocena!$K$392,Ocena!$K$403,Ocena!$K$414))</f>
        <v>1.236842105263158</v>
      </c>
      <c r="K5" s="9">
        <f>IF(E5=0,"",MEDIAN(Ocena!$L$7,Ocena!$L$18,Ocena!$L$29,Ocena!$L$40,Ocena!$L$51,Ocena!$L$62,Ocena!$L$73,Ocena!$L$84,Ocena!$L$95,Ocena!$L$106,Ocena!$L$117,Ocena!$L$128,Ocena!$L$139,Ocena!$L$150,Ocena!$L$161,Ocena!$L$172,Ocena!$L$183,Ocena!$L$194,Ocena!$L$205,Ocena!$L$216,Ocena!$L$227,Ocena!$L$238,Ocena!$L$249,Ocena!$L$260,Ocena!$L$271,Ocena!$L$282,Ocena!$L$293,Ocena!$L$304,Ocena!$L$315,Ocena!$L$326,Ocena!$L$337,Ocena!$L$348,Ocena!$L$364,Ocena!$L$365,Ocena!$L$381,Ocena!$L$392,Ocena!$L$403,Ocena!$L$414))</f>
        <v>2</v>
      </c>
      <c r="L5" s="9">
        <f>IF(E5=0,"",AVERAGE(Ocena!$L$7,Ocena!$L$18,Ocena!$L$29,Ocena!$L$40,Ocena!$L$51,Ocena!$L$62,Ocena!$L$73,Ocena!$L$84,Ocena!$L$95,Ocena!$L$106,Ocena!$L$117,Ocena!$L$128,Ocena!$L$139,Ocena!$L$150,Ocena!$L$161,Ocena!$L$172,Ocena!$L$183,Ocena!$L$194,Ocena!$L$205,Ocena!$L$216,Ocena!$L$227,Ocena!$L$238,Ocena!$L$249,Ocena!$L$260,Ocena!$L$271,Ocena!$L$282,Ocena!$L$293,Ocena!$L$304,Ocena!$L$315,Ocena!$L$326,Ocena!$L$337,Ocena!$L$348,Ocena!$L$364,Ocena!$L$365,Ocena!$L$381,Ocena!$L$392,Ocena!$L$403,Ocena!$L$414))</f>
        <v>1.6842105263157894</v>
      </c>
      <c r="M5" s="9">
        <f>IF(E5=0,"",MEDIAN(Ocena!$M$7,Ocena!$M$18,Ocena!$M$29,Ocena!$M$40,Ocena!$M$51,Ocena!$M$62,Ocena!$M$73,Ocena!$M$84,Ocena!$M$95,Ocena!$M$106,Ocena!$M$117,Ocena!$M$128,Ocena!$M$139,Ocena!$M$150,Ocena!$M$161,Ocena!$M$172,Ocena!$M$183,Ocena!$M$194,Ocena!$M$205,Ocena!$M$216,Ocena!$M$227,Ocena!$M$238,Ocena!$M$249,Ocena!$M$260,Ocena!$M$271,Ocena!$M$282,Ocena!$M$293,Ocena!$M$304,Ocena!$M$315,Ocena!$M$326,Ocena!$M$337,Ocena!$M$348,Ocena!$M$364,Ocena!$M$365,Ocena!$M$381,Ocena!$M$392,Ocena!$M$403,Ocena!$M$414))</f>
        <v>2</v>
      </c>
      <c r="N5" s="9">
        <f>IF(E5=0,"",AVERAGE(Ocena!$M$7,Ocena!$M$18,Ocena!$M$29,Ocena!$M$40,Ocena!$M$51,Ocena!$M$62,Ocena!$M$73,Ocena!$M$84,Ocena!$M$95,Ocena!$M$106,Ocena!$M$117,Ocena!$M$128,Ocena!$M$139,Ocena!$M$150,Ocena!$M$161,Ocena!$M$172,Ocena!$M$183,Ocena!$M$194,Ocena!$M$205,Ocena!$M$216,Ocena!$M$227,Ocena!$M$238,Ocena!$M$249,Ocena!$M$260,Ocena!$M$271,Ocena!$M$282,Ocena!$M$293,Ocena!$M$304,Ocena!$M$315,Ocena!$M$326,Ocena!$M$337,Ocena!$M$348,Ocena!$M$364,Ocena!$M$365,Ocena!$M$381,Ocena!$M$392,Ocena!$M$403,Ocena!$M$414))</f>
        <v>1.9473684210526316</v>
      </c>
      <c r="O5" s="9">
        <f>IF(E5=0,"",MEDIAN(Ocena!$N$7,Ocena!$N$18,Ocena!$N$29,Ocena!$N$40,Ocena!$N$51,Ocena!$N$62,Ocena!$N$73,Ocena!$N$84,Ocena!$N$95,Ocena!$N$106,Ocena!$N$117,Ocena!$N$128,Ocena!$N$139,Ocena!$N$150,Ocena!$N$161,Ocena!$N$172,Ocena!$N$183,Ocena!$N$194,Ocena!$N$205,Ocena!$N$216,Ocena!$N$227,Ocena!$N$238,Ocena!$N$249,Ocena!$N$260,Ocena!$N$271,Ocena!$N$282,Ocena!$N$293,Ocena!$N$304,Ocena!$N$315,Ocena!$N$326,Ocena!$N$337,Ocena!$N$348,Ocena!$N$364,Ocena!$N$365,Ocena!$N$381,Ocena!$N$392,Ocena!$N$403,Ocena!$N$414))</f>
        <v>1</v>
      </c>
      <c r="P5" s="9">
        <f>IF(E5=0,"",AVERAGE(Ocena!$N$7,Ocena!$N$18,Ocena!$N$29,Ocena!$N$40,Ocena!$N$51,Ocena!$N$62,Ocena!$N$73,Ocena!$N$84,Ocena!$N$95,Ocena!$N$106,Ocena!$N$117,Ocena!$N$128,Ocena!$N$139,Ocena!$N$150,Ocena!$N$161,Ocena!$N$172,Ocena!$N$183,Ocena!$N$194,Ocena!$N$205,Ocena!$N$216,Ocena!$N$227,Ocena!$N$238,Ocena!$N$249,Ocena!$N$260,Ocena!$N$271,Ocena!$N$282,Ocena!$N$293,Ocena!$N$304,Ocena!$N$315,Ocena!$N$326,Ocena!$N$337,Ocena!$N$348,Ocena!$N$364,Ocena!$N$365,Ocena!$N$381,Ocena!$N$392,Ocena!$N$403,Ocena!$N$414))</f>
        <v>1.368421052631579</v>
      </c>
      <c r="Q5" s="9">
        <f>IF(E5=0,"",MIN(Ocena!$O$7,Ocena!$O$18,Ocena!$O$29,Ocena!$O$40,Ocena!$O$51,Ocena!$O$62,Ocena!$O$73,Ocena!$O$84,Ocena!$O$95,Ocena!$O$106,Ocena!$O$117,Ocena!$O$128,Ocena!$O$139,Ocena!$O$150,Ocena!$O$161,Ocena!$O$172,Ocena!$O$183,Ocena!$O$194,Ocena!$O$205,Ocena!$O$216,Ocena!$O$227,Ocena!$O$238,Ocena!$O$249,Ocena!$O$260,Ocena!$O$271,Ocena!$O$282,Ocena!$O$293,Ocena!$O$304,Ocena!$O$315,Ocena!$O$326,Ocena!$O$337,Ocena!$O$348,Ocena!$O$364,Ocena!$O$365,Ocena!$O$381,Ocena!$O$392,Ocena!$O$403,Ocena!$O$414))</f>
        <v>3</v>
      </c>
      <c r="R5" s="9">
        <f>IF(E5=0,"",MAX(Ocena!$O$7,Ocena!$O$18,Ocena!$O$29,Ocena!$O$40,Ocena!$O$51,Ocena!$O$62,Ocena!$O$73,Ocena!$O$84,Ocena!$O$95,Ocena!$O$106,Ocena!$O$117,Ocena!$O$128,Ocena!$O$139,Ocena!$O$150,Ocena!$O$161,Ocena!$O$172,Ocena!$O$183,Ocena!$O$194,Ocena!$O$205,Ocena!$O$216,Ocena!$O$227,Ocena!$O$238,Ocena!$O$249,Ocena!$O$260,Ocena!$O$271,Ocena!$O$282,Ocena!$O$293,Ocena!$O$304,Ocena!$O$315,Ocena!$O$326,Ocena!$O$337,Ocena!$O$348,Ocena!$O$364,Ocena!$O$365,Ocena!$O$381,Ocena!$O$392,Ocena!$O$403,Ocena!$O$414))</f>
        <v>10</v>
      </c>
      <c r="S5" s="10">
        <f>IF(AND(COUNT(Ocena!$K$7:$N$7)=4,COUNTIF(Ocena!$K$7:$N$7,0)=4),1,0)+IF(AND(COUNT(Ocena!$K$18:$N$18)=4,COUNTIF(Ocena!$K$18:$N$18,0)=4),1,0)+IF(AND(COUNT(Ocena!$K$29:$N$29)=4,COUNTIF(Ocena!$K$29:$N$29,0)=4),1,0)+IF(AND(COUNT(Ocena!$K$40:$N$40)=4,COUNTIF(Ocena!$K$40:$N$40,0)=4),1,0)+IF(AND(COUNT(Ocena!$K$51:$N$51)=4,COUNTIF(Ocena!$K$51:$N$51,0)=4),1,0)+IF(AND(COUNT(Ocena!$K$62:$N$62)=4,COUNTIF(Ocena!$K$62:$N$62,0)=4),1,0)+IF(AND(COUNT(Ocena!$K$73:$N$73)=4,COUNTIF(Ocena!$K$73:$N$73,0)=4),1,0)+IF(AND(COUNT(Ocena!$K$84:$N$84)=4,COUNTIF(Ocena!$K$84:$N$84,0)=4),1,0)+IF(AND(COUNT(Ocena!$K$95:$N$95)=4,COUNTIF(Ocena!$K$95:$N$95,0)=4),1,0)+IF(AND(COUNT(Ocena!$K$106:$N$106)=4,COUNTIF(Ocena!$K$106:$N$106,0)=4),1,0)+IF(AND(COUNT(Ocena!$K$117:$N$117)=4,COUNTIF(Ocena!$K$117:$N$117,0)=4),1,0)+IF(AND(COUNT(Ocena!$K$128:$N$128)=4,COUNTIF(Ocena!$K$128:$N$128,0)=4),1,0)+IF(AND(COUNT(Ocena!$K$139:$N$139)=4,COUNTIF(Ocena!$K$139:$N$139,0)=4),1,0)+IF(AND(COUNT(Ocena!$K$150:$N$150)=4,COUNTIF(Ocena!$K$150:$N$150,0)=4),1,0)+IF(AND(COUNT(Ocena!$K$161:$N$161)=4,COUNTIF(Ocena!$K$161:$N$161,0)=4),1,0)+IF(AND(COUNT(Ocena!$K$172:$N$172)=4,COUNTIF(Ocena!$K$172:$N$172,0)=4),1,0)+IF(AND(COUNT(Ocena!$K$183:$N$183)=4,COUNTIF(Ocena!$K$183:$N$183,0)=4),1,0)+IF(AND(COUNT(Ocena!$K$194:$N$194)=4,COUNTIF(Ocena!$K$194:$N$194,0)=4),1,0)+IF(AND(COUNT(Ocena!$K$205:$N$205)=4,COUNTIF(Ocena!$K$205:$N$205,0)=4),1,0)+IF(AND(COUNT(Ocena!$K$216:$N$216)=4,COUNTIF(Ocena!$K$216:$N$216,0)=4),1,0)+IF(AND(COUNT(Ocena!$K$227:$N$227)=4,COUNTIF(Ocena!$K$227:$N$227,0)=4),1,0)+IF(AND(COUNT(Ocena!$K$238:$N$238)=4,COUNTIF(Ocena!$K$238:$N$238,0)=4),1,0)+IF(AND(COUNT(Ocena!$K$249:$N$249)=4,COUNTIF(Ocena!$K$249:$N$249,0)=4),1,0)+IF(AND(COUNT(Ocena!$K$260:$N$260)=4,COUNTIF(Ocena!$K$260:$N$260,0)=4),1,0)+IF(AND(COUNT(Ocena!$K$271:$N$271)=4,COUNTIF(Ocena!$K$271:$N$271,0)=4),1,0)+IF(AND(COUNT(Ocena!$K$282:$N$282)=4,COUNTIF(Ocena!$K$282:$N$282,0)=4),1,0)+IF(AND(COUNT(Ocena!$K$293:$N$293)=4,COUNTIF(Ocena!$K$293:$N$293,0)=4),1,0)+IF(AND(COUNT(Ocena!$K$304:$N$304)=4,COUNTIF(Ocena!$K$304:$N$304,0)=4),1,0)+IF(AND(COUNT(Ocena!$K$315:$N$315)=4,COUNTIF(Ocena!$K$315:$N$315,0)=4),1,0)+IF(AND(COUNT(Ocena!$K$326:$N$326)=4,COUNTIF(Ocena!$K$326:$N$326,0)=4),1,0)+IF(AND(COUNT(Ocena!$K$337:$N$337)=4,COUNTIF(Ocena!$K$337:$N$337,0)=4),1,0)+IF(AND(COUNT(Ocena!$K$348:$N$348)=4,COUNTIF(Ocena!$K$348:$N$348,0)=4),1,0)+IF(AND(COUNT(Ocena!$K$364:$N$364)=4,COUNTIF(Ocena!$K$364:$N$364,0)=4),1,0)+IF(AND(COUNT(Ocena!$K$365:$N$365)=4,COUNTIF(Ocena!$K$365:$N$365,0)=4),1,0)+IF(AND(COUNT(Ocena!$K$381:$N$381)=4,COUNTIF(Ocena!$K$381:$N$381,0)=4),1,0)+IF(AND(COUNT(Ocena!$K$392:$N$392)=4,COUNTIF(Ocena!$K$392:$N$392,0)=4),1,0)+IF(AND(COUNT(Ocena!$K$403:$N$403)=4,COUNTIF(Ocena!$K$403:$N$403,0)=4),1,0)+IF(AND(COUNT(Ocena!$K$414:$N$414)=4,COUNTIF(Ocena!$K$414:$N$414,0)=4),1,0)</f>
        <v>0</v>
      </c>
      <c r="T5" s="8">
        <f t="shared" si="1"/>
        <v>0</v>
      </c>
    </row>
    <row r="6" spans="1:20" ht="27.95" customHeight="1" x14ac:dyDescent="0.25">
      <c r="A6" s="2" t="s">
        <v>23</v>
      </c>
      <c r="B6" s="10">
        <v>8</v>
      </c>
      <c r="C6" s="10">
        <v>8</v>
      </c>
      <c r="D6" s="10">
        <v>38</v>
      </c>
      <c r="E6" s="10">
        <f>COUNT(Ocena!$O$10,Ocena!$O$21,Ocena!$O$32,Ocena!$O$43,Ocena!$O$54,Ocena!$O$65,Ocena!$O$76,Ocena!$O$87,Ocena!$O$98,Ocena!$O$109,Ocena!$O$120,Ocena!$O$131,Ocena!$O$142,Ocena!$O$153,Ocena!$O$164,Ocena!$O$175,Ocena!$O$186,Ocena!$O$197,Ocena!$O$208,Ocena!$O$219,Ocena!$O$230,Ocena!$O$241,Ocena!$O$252,Ocena!$O$263,Ocena!$O$274,Ocena!$O$285,Ocena!$O$296,Ocena!$O$307,Ocena!$O$318,Ocena!$O$329,Ocena!$O$340,Ocena!$O$351,Ocena!$O$370,Ocena!$O$371,Ocena!$O$384,Ocena!$O$395,Ocena!$O$406,Ocena!$O$417)</f>
        <v>38</v>
      </c>
      <c r="F6" s="8">
        <f t="shared" si="0"/>
        <v>1</v>
      </c>
      <c r="G6" s="9">
        <f>IF(E6=0,"",MEDIAN(Ocena!$O$10,Ocena!$O$21,Ocena!$O$32,Ocena!$O$43,Ocena!$O$54,Ocena!$O$65,Ocena!$O$76,Ocena!$O$87,Ocena!$O$98,Ocena!$O$109,Ocena!$O$120,Ocena!$O$131,Ocena!$O$142,Ocena!$O$153,Ocena!$O$164,Ocena!$O$175,Ocena!$O$186,Ocena!$O$197,Ocena!$O$208,Ocena!$O$219,Ocena!$O$230,Ocena!$O$241,Ocena!$O$252,Ocena!$O$263,Ocena!$O$274,Ocena!$O$285,Ocena!$O$296,Ocena!$O$307,Ocena!$O$318,Ocena!$O$329,Ocena!$O$340,Ocena!$O$351,Ocena!$O$370,Ocena!$O$371,Ocena!$O$384,Ocena!$O$395,Ocena!$O$406,Ocena!$O$417))</f>
        <v>6</v>
      </c>
      <c r="H6" s="9">
        <f>IF(E6=0,"",AVERAGE(Ocena!$O$10,Ocena!$O$21,Ocena!$O$32,Ocena!$O$43,Ocena!$O$54,Ocena!$O$65,Ocena!$O$76,Ocena!$O$87,Ocena!$O$98,Ocena!$O$109,Ocena!$O$120,Ocena!$O$131,Ocena!$O$142,Ocena!$O$153,Ocena!$O$164,Ocena!$O$175,Ocena!$O$186,Ocena!$O$197,Ocena!$O$208,Ocena!$O$219,Ocena!$O$230,Ocena!$O$241,Ocena!$O$252,Ocena!$O$263,Ocena!$O$274,Ocena!$O$285,Ocena!$O$296,Ocena!$O$307,Ocena!$O$318,Ocena!$O$329,Ocena!$O$340,Ocena!$O$351,Ocena!$O$370,Ocena!$O$371,Ocena!$O$384,Ocena!$O$395,Ocena!$O$406,Ocena!$O$417))</f>
        <v>6.1315789473684212</v>
      </c>
      <c r="I6" s="9">
        <f>IF(E6=0,"",MEDIAN(Ocena!$K$10,Ocena!$K$21,Ocena!$K$32,Ocena!$K$43,Ocena!$K$54,Ocena!$K$65,Ocena!$K$76,Ocena!$K$87,Ocena!$K$98,Ocena!$K$109,Ocena!$K$120,Ocena!$K$131,Ocena!$K$142,Ocena!$K$153,Ocena!$K$164,Ocena!$K$175,Ocena!$K$186,Ocena!$K$197,Ocena!$K$208,Ocena!$K$219,Ocena!$K$230,Ocena!$K$241,Ocena!$K$252,Ocena!$K$263,Ocena!$K$274,Ocena!$K$285,Ocena!$K$296,Ocena!$K$307,Ocena!$K$318,Ocena!$K$329,Ocena!$K$340,Ocena!$K$351,Ocena!$K$370,Ocena!$K$371,Ocena!$K$384,Ocena!$K$395,Ocena!$K$406,Ocena!$K$417))</f>
        <v>1</v>
      </c>
      <c r="J6" s="9">
        <f>IF(E6=0,"",AVERAGE(Ocena!$K$10,Ocena!$K$21,Ocena!$K$32,Ocena!$K$43,Ocena!$K$54,Ocena!$K$65,Ocena!$K$76,Ocena!$K$87,Ocena!$K$98,Ocena!$K$109,Ocena!$K$120,Ocena!$K$131,Ocena!$K$142,Ocena!$K$153,Ocena!$K$164,Ocena!$K$175,Ocena!$K$186,Ocena!$K$197,Ocena!$K$208,Ocena!$K$219,Ocena!$K$230,Ocena!$K$241,Ocena!$K$252,Ocena!$K$263,Ocena!$K$274,Ocena!$K$285,Ocena!$K$296,Ocena!$K$307,Ocena!$K$318,Ocena!$K$329,Ocena!$K$340,Ocena!$K$351,Ocena!$K$370,Ocena!$K$371,Ocena!$K$384,Ocena!$K$395,Ocena!$K$406,Ocena!$K$417))</f>
        <v>1.236842105263158</v>
      </c>
      <c r="K6" s="9">
        <f>IF(E6=0,"",MEDIAN(Ocena!$L$10,Ocena!$L$21,Ocena!$L$32,Ocena!$L$43,Ocena!$L$54,Ocena!$L$65,Ocena!$L$76,Ocena!$L$87,Ocena!$L$98,Ocena!$L$109,Ocena!$L$120,Ocena!$L$131,Ocena!$L$142,Ocena!$L$153,Ocena!$L$164,Ocena!$L$175,Ocena!$L$186,Ocena!$L$197,Ocena!$L$208,Ocena!$L$219,Ocena!$L$230,Ocena!$L$241,Ocena!$L$252,Ocena!$L$263,Ocena!$L$274,Ocena!$L$285,Ocena!$L$296,Ocena!$L$307,Ocena!$L$318,Ocena!$L$329,Ocena!$L$340,Ocena!$L$351,Ocena!$L$370,Ocena!$L$371,Ocena!$L$384,Ocena!$L$395,Ocena!$L$406,Ocena!$L$417))</f>
        <v>2</v>
      </c>
      <c r="L6" s="9">
        <f>IF(E6=0,"",AVERAGE(Ocena!$L$10,Ocena!$L$21,Ocena!$L$32,Ocena!$L$43,Ocena!$L$54,Ocena!$L$65,Ocena!$L$76,Ocena!$L$87,Ocena!$L$98,Ocena!$L$109,Ocena!$L$120,Ocena!$L$131,Ocena!$L$142,Ocena!$L$153,Ocena!$L$164,Ocena!$L$175,Ocena!$L$186,Ocena!$L$197,Ocena!$L$208,Ocena!$L$219,Ocena!$L$230,Ocena!$L$241,Ocena!$L$252,Ocena!$L$263,Ocena!$L$274,Ocena!$L$285,Ocena!$L$296,Ocena!$L$307,Ocena!$L$318,Ocena!$L$329,Ocena!$L$340,Ocena!$L$351,Ocena!$L$370,Ocena!$L$371,Ocena!$L$384,Ocena!$L$395,Ocena!$L$406,Ocena!$L$417))</f>
        <v>1.6578947368421053</v>
      </c>
      <c r="M6" s="9">
        <f>IF(E6=0,"",MEDIAN(Ocena!$M$10,Ocena!$M$21,Ocena!$M$32,Ocena!$M$43,Ocena!$M$54,Ocena!$M$65,Ocena!$M$76,Ocena!$M$87,Ocena!$M$98,Ocena!$M$109,Ocena!$M$120,Ocena!$M$131,Ocena!$M$142,Ocena!$M$153,Ocena!$M$164,Ocena!$M$175,Ocena!$M$186,Ocena!$M$197,Ocena!$M$208,Ocena!$M$219,Ocena!$M$230,Ocena!$M$241,Ocena!$M$252,Ocena!$M$263,Ocena!$M$274,Ocena!$M$285,Ocena!$M$296,Ocena!$M$307,Ocena!$M$318,Ocena!$M$329,Ocena!$M$340,Ocena!$M$351,Ocena!$M$370,Ocena!$M$371,Ocena!$M$384,Ocena!$M$395,Ocena!$M$406,Ocena!$M$417))</f>
        <v>2</v>
      </c>
      <c r="N6" s="9">
        <f>IF(E6=0,"",AVERAGE(Ocena!$M$10,Ocena!$M$21,Ocena!$M$32,Ocena!$M$43,Ocena!$M$54,Ocena!$M$65,Ocena!$M$76,Ocena!$M$87,Ocena!$M$98,Ocena!$M$109,Ocena!$M$120,Ocena!$M$131,Ocena!$M$142,Ocena!$M$153,Ocena!$M$164,Ocena!$M$175,Ocena!$M$186,Ocena!$M$197,Ocena!$M$208,Ocena!$M$219,Ocena!$M$230,Ocena!$M$241,Ocena!$M$252,Ocena!$M$263,Ocena!$M$274,Ocena!$M$285,Ocena!$M$296,Ocena!$M$307,Ocena!$M$318,Ocena!$M$329,Ocena!$M$340,Ocena!$M$351,Ocena!$M$370,Ocena!$M$371,Ocena!$M$384,Ocena!$M$395,Ocena!$M$406,Ocena!$M$417))</f>
        <v>1.8421052631578947</v>
      </c>
      <c r="O6" s="9">
        <f>IF(E6=0,"",MEDIAN(Ocena!$N$10,Ocena!$N$21,Ocena!$N$32,Ocena!$N$43,Ocena!$N$54,Ocena!$N$65,Ocena!$N$76,Ocena!$N$87,Ocena!$N$98,Ocena!$N$109,Ocena!$N$120,Ocena!$N$131,Ocena!$N$142,Ocena!$N$153,Ocena!$N$164,Ocena!$N$175,Ocena!$N$186,Ocena!$N$197,Ocena!$N$208,Ocena!$N$219,Ocena!$N$230,Ocena!$N$241,Ocena!$N$252,Ocena!$N$263,Ocena!$N$274,Ocena!$N$285,Ocena!$N$296,Ocena!$N$307,Ocena!$N$318,Ocena!$N$329,Ocena!$N$340,Ocena!$N$351,Ocena!$N$370,Ocena!$N$371,Ocena!$N$384,Ocena!$N$395,Ocena!$N$406,Ocena!$N$417))</f>
        <v>1</v>
      </c>
      <c r="P6" s="9">
        <f>IF(E6=0,"",AVERAGE(Ocena!$N$10,Ocena!$N$21,Ocena!$N$32,Ocena!$N$43,Ocena!$N$54,Ocena!$N$65,Ocena!$N$76,Ocena!$N$87,Ocena!$N$98,Ocena!$N$109,Ocena!$N$120,Ocena!$N$131,Ocena!$N$142,Ocena!$N$153,Ocena!$N$164,Ocena!$N$175,Ocena!$N$186,Ocena!$N$197,Ocena!$N$208,Ocena!$N$219,Ocena!$N$230,Ocena!$N$241,Ocena!$N$252,Ocena!$N$263,Ocena!$N$274,Ocena!$N$285,Ocena!$N$296,Ocena!$N$307,Ocena!$N$318,Ocena!$N$329,Ocena!$N$340,Ocena!$N$351,Ocena!$N$370,Ocena!$N$371,Ocena!$N$384,Ocena!$N$395,Ocena!$N$406,Ocena!$N$417))</f>
        <v>1.3947368421052631</v>
      </c>
      <c r="Q6" s="9">
        <f>IF(E6=0,"",MIN(Ocena!$O$10,Ocena!$O$21,Ocena!$O$32,Ocena!$O$43,Ocena!$O$54,Ocena!$O$65,Ocena!$O$76,Ocena!$O$87,Ocena!$O$98,Ocena!$O$109,Ocena!$O$120,Ocena!$O$131,Ocena!$O$142,Ocena!$O$153,Ocena!$O$164,Ocena!$O$175,Ocena!$O$186,Ocena!$O$197,Ocena!$O$208,Ocena!$O$219,Ocena!$O$230,Ocena!$O$241,Ocena!$O$252,Ocena!$O$263,Ocena!$O$274,Ocena!$O$285,Ocena!$O$296,Ocena!$O$307,Ocena!$O$318,Ocena!$O$329,Ocena!$O$340,Ocena!$O$351,Ocena!$O$370,Ocena!$O$371,Ocena!$O$384,Ocena!$O$395,Ocena!$O$406,Ocena!$O$417))</f>
        <v>3</v>
      </c>
      <c r="R6" s="9">
        <f>IF(E6=0,"",MAX(Ocena!$O$10,Ocena!$O$21,Ocena!$O$32,Ocena!$O$43,Ocena!$O$54,Ocena!$O$65,Ocena!$O$76,Ocena!$O$87,Ocena!$O$98,Ocena!$O$109,Ocena!$O$120,Ocena!$O$131,Ocena!$O$142,Ocena!$O$153,Ocena!$O$164,Ocena!$O$175,Ocena!$O$186,Ocena!$O$197,Ocena!$O$208,Ocena!$O$219,Ocena!$O$230,Ocena!$O$241,Ocena!$O$252,Ocena!$O$263,Ocena!$O$274,Ocena!$O$285,Ocena!$O$296,Ocena!$O$307,Ocena!$O$318,Ocena!$O$329,Ocena!$O$340,Ocena!$O$351,Ocena!$O$370,Ocena!$O$371,Ocena!$O$384,Ocena!$O$395,Ocena!$O$406,Ocena!$O$417))</f>
        <v>8</v>
      </c>
      <c r="S6" s="10">
        <f>IF(AND(COUNT(Ocena!$K$10:$N$10)=4,COUNTIF(Ocena!$K$10:$N$10,0)=4),1,0)+IF(AND(COUNT(Ocena!$K$21:$N$21)=4,COUNTIF(Ocena!$K$21:$N$21,0)=4),1,0)+IF(AND(COUNT(Ocena!$K$32:$N$32)=4,COUNTIF(Ocena!$K$32:$N$32,0)=4),1,0)+IF(AND(COUNT(Ocena!$K$43:$N$43)=4,COUNTIF(Ocena!$K$43:$N$43,0)=4),1,0)+IF(AND(COUNT(Ocena!$K$54:$N$54)=4,COUNTIF(Ocena!$K$54:$N$54,0)=4),1,0)+IF(AND(COUNT(Ocena!$K$65:$N$65)=4,COUNTIF(Ocena!$K$65:$N$65,0)=4),1,0)+IF(AND(COUNT(Ocena!$K$76:$N$76)=4,COUNTIF(Ocena!$K$76:$N$76,0)=4),1,0)+IF(AND(COUNT(Ocena!$K$87:$N$87)=4,COUNTIF(Ocena!$K$87:$N$87,0)=4),1,0)+IF(AND(COUNT(Ocena!$K$98:$N$98)=4,COUNTIF(Ocena!$K$98:$N$98,0)=4),1,0)+IF(AND(COUNT(Ocena!$K$109:$N$109)=4,COUNTIF(Ocena!$K$109:$N$109,0)=4),1,0)+IF(AND(COUNT(Ocena!$K$120:$N$120)=4,COUNTIF(Ocena!$K$120:$N$120,0)=4),1,0)+IF(AND(COUNT(Ocena!$K$131:$N$131)=4,COUNTIF(Ocena!$K$131:$N$131,0)=4),1,0)+IF(AND(COUNT(Ocena!$K$142:$N$142)=4,COUNTIF(Ocena!$K$142:$N$142,0)=4),1,0)+IF(AND(COUNT(Ocena!$K$153:$N$153)=4,COUNTIF(Ocena!$K$153:$N$153,0)=4),1,0)+IF(AND(COUNT(Ocena!$K$164:$N$164)=4,COUNTIF(Ocena!$K$164:$N$164,0)=4),1,0)+IF(AND(COUNT(Ocena!$K$175:$N$175)=4,COUNTIF(Ocena!$K$175:$N$175,0)=4),1,0)+IF(AND(COUNT(Ocena!$K$186:$N$186)=4,COUNTIF(Ocena!$K$186:$N$186,0)=4),1,0)+IF(AND(COUNT(Ocena!$K$197:$N$197)=4,COUNTIF(Ocena!$K$197:$N$197,0)=4),1,0)+IF(AND(COUNT(Ocena!$K$208:$N$208)=4,COUNTIF(Ocena!$K$208:$N$208,0)=4),1,0)+IF(AND(COUNT(Ocena!$K$219:$N$219)=4,COUNTIF(Ocena!$K$219:$N$219,0)=4),1,0)+IF(AND(COUNT(Ocena!$K$230:$N$230)=4,COUNTIF(Ocena!$K$230:$N$230,0)=4),1,0)+IF(AND(COUNT(Ocena!$K$241:$N$241)=4,COUNTIF(Ocena!$K$241:$N$241,0)=4),1,0)+IF(AND(COUNT(Ocena!$K$252:$N$252)=4,COUNTIF(Ocena!$K$252:$N$252,0)=4),1,0)+IF(AND(COUNT(Ocena!$K$263:$N$263)=4,COUNTIF(Ocena!$K$263:$N$263,0)=4),1,0)+IF(AND(COUNT(Ocena!$K$274:$N$274)=4,COUNTIF(Ocena!$K$274:$N$274,0)=4),1,0)+IF(AND(COUNT(Ocena!$K$285:$N$285)=4,COUNTIF(Ocena!$K$285:$N$285,0)=4),1,0)+IF(AND(COUNT(Ocena!$K$296:$N$296)=4,COUNTIF(Ocena!$K$296:$N$296,0)=4),1,0)+IF(AND(COUNT(Ocena!$K$307:$N$307)=4,COUNTIF(Ocena!$K$307:$N$307,0)=4),1,0)+IF(AND(COUNT(Ocena!$K$318:$N$318)=4,COUNTIF(Ocena!$K$318:$N$318,0)=4),1,0)+IF(AND(COUNT(Ocena!$K$329:$N$329)=4,COUNTIF(Ocena!$K$329:$N$329,0)=4),1,0)+IF(AND(COUNT(Ocena!$K$340:$N$340)=4,COUNTIF(Ocena!$K$340:$N$340,0)=4),1,0)+IF(AND(COUNT(Ocena!$K$351:$N$351)=4,COUNTIF(Ocena!$K$351:$N$351,0)=4),1,0)+IF(AND(COUNT(Ocena!$K$370:$N$370)=4,COUNTIF(Ocena!$K$370:$N$370,0)=4),1,0)+IF(AND(COUNT(Ocena!$K$371:$N$371)=4,COUNTIF(Ocena!$K$371:$N$371,0)=4),1,0)+IF(AND(COUNT(Ocena!$K$384:$N$384)=4,COUNTIF(Ocena!$K$384:$N$384,0)=4),1,0)+IF(AND(COUNT(Ocena!$K$395:$N$395)=4,COUNTIF(Ocena!$K$395:$N$395,0)=4),1,0)+IF(AND(COUNT(Ocena!$K$406:$N$406)=4,COUNTIF(Ocena!$K$406:$N$406,0)=4),1,0)+IF(AND(COUNT(Ocena!$K$417:$N$417)=4,COUNTIF(Ocena!$K$417:$N$417,0)=4),1,0)</f>
        <v>0</v>
      </c>
      <c r="T6" s="8">
        <f t="shared" si="1"/>
        <v>0</v>
      </c>
    </row>
    <row r="7" spans="1:20" ht="27.95" customHeight="1" x14ac:dyDescent="0.25">
      <c r="A7" s="2" t="s">
        <v>31</v>
      </c>
      <c r="B7" s="10">
        <v>2</v>
      </c>
      <c r="C7" s="10">
        <v>2</v>
      </c>
      <c r="D7" s="10">
        <v>38</v>
      </c>
      <c r="E7" s="10">
        <f>COUNT(Ocena!$O$5,Ocena!$O$16,Ocena!$O$27,Ocena!$O$38,Ocena!$O$49,Ocena!$O$60,Ocena!$O$71,Ocena!$O$82,Ocena!$O$93,Ocena!$O$104,Ocena!$O$115,Ocena!$O$126,Ocena!$O$137,Ocena!$O$148,Ocena!$O$159,Ocena!$O$170,Ocena!$O$181,Ocena!$O$192,Ocena!$O$203,Ocena!$O$214,Ocena!$O$225,Ocena!$O$236,Ocena!$O$247,Ocena!$O$258,Ocena!$O$269,Ocena!$O$280,Ocena!$O$291,Ocena!$O$302,Ocena!$O$313,Ocena!$O$324,Ocena!$O$335,Ocena!$O$346,Ocena!$O$360,Ocena!$O$361,Ocena!$O$379,Ocena!$O$390,Ocena!$O$401,Ocena!$O$412)</f>
        <v>38</v>
      </c>
      <c r="F7" s="8">
        <f t="shared" si="0"/>
        <v>1</v>
      </c>
      <c r="G7" s="9">
        <f>IF(E7=0,"",MEDIAN(Ocena!$O$5,Ocena!$O$16,Ocena!$O$27,Ocena!$O$38,Ocena!$O$49,Ocena!$O$60,Ocena!$O$71,Ocena!$O$82,Ocena!$O$93,Ocena!$O$104,Ocena!$O$115,Ocena!$O$126,Ocena!$O$137,Ocena!$O$148,Ocena!$O$159,Ocena!$O$170,Ocena!$O$181,Ocena!$O$192,Ocena!$O$203,Ocena!$O$214,Ocena!$O$225,Ocena!$O$236,Ocena!$O$247,Ocena!$O$258,Ocena!$O$269,Ocena!$O$280,Ocena!$O$291,Ocena!$O$302,Ocena!$O$313,Ocena!$O$324,Ocena!$O$335,Ocena!$O$346,Ocena!$O$360,Ocena!$O$361,Ocena!$O$379,Ocena!$O$390,Ocena!$O$401,Ocena!$O$412))</f>
        <v>6</v>
      </c>
      <c r="H7" s="9">
        <f>IF(E7=0,"",AVERAGE(Ocena!$O$5,Ocena!$O$16,Ocena!$O$27,Ocena!$O$38,Ocena!$O$49,Ocena!$O$60,Ocena!$O$71,Ocena!$O$82,Ocena!$O$93,Ocena!$O$104,Ocena!$O$115,Ocena!$O$126,Ocena!$O$137,Ocena!$O$148,Ocena!$O$159,Ocena!$O$170,Ocena!$O$181,Ocena!$O$192,Ocena!$O$203,Ocena!$O$214,Ocena!$O$225,Ocena!$O$236,Ocena!$O$247,Ocena!$O$258,Ocena!$O$269,Ocena!$O$280,Ocena!$O$291,Ocena!$O$302,Ocena!$O$313,Ocena!$O$324,Ocena!$O$335,Ocena!$O$346,Ocena!$O$360,Ocena!$O$361,Ocena!$O$379,Ocena!$O$390,Ocena!$O$401,Ocena!$O$412))</f>
        <v>5.9473684210526319</v>
      </c>
      <c r="I7" s="9">
        <f>IF(E7=0,"",MEDIAN(Ocena!$K$5,Ocena!$K$16,Ocena!$K$27,Ocena!$K$38,Ocena!$K$49,Ocena!$K$60,Ocena!$K$71,Ocena!$K$82,Ocena!$K$93,Ocena!$K$104,Ocena!$K$115,Ocena!$K$126,Ocena!$K$137,Ocena!$K$148,Ocena!$K$159,Ocena!$K$170,Ocena!$K$181,Ocena!$K$192,Ocena!$K$203,Ocena!$K$214,Ocena!$K$225,Ocena!$K$236,Ocena!$K$247,Ocena!$K$258,Ocena!$K$269,Ocena!$K$280,Ocena!$K$291,Ocena!$K$302,Ocena!$K$313,Ocena!$K$324,Ocena!$K$335,Ocena!$K$346,Ocena!$K$360,Ocena!$K$361,Ocena!$K$379,Ocena!$K$390,Ocena!$K$401,Ocena!$K$412))</f>
        <v>1</v>
      </c>
      <c r="J7" s="9">
        <f>IF(E7=0,"",AVERAGE(Ocena!$K$5,Ocena!$K$16,Ocena!$K$27,Ocena!$K$38,Ocena!$K$49,Ocena!$K$60,Ocena!$K$71,Ocena!$K$82,Ocena!$K$93,Ocena!$K$104,Ocena!$K$115,Ocena!$K$126,Ocena!$K$137,Ocena!$K$148,Ocena!$K$159,Ocena!$K$170,Ocena!$K$181,Ocena!$K$192,Ocena!$K$203,Ocena!$K$214,Ocena!$K$225,Ocena!$K$236,Ocena!$K$247,Ocena!$K$258,Ocena!$K$269,Ocena!$K$280,Ocena!$K$291,Ocena!$K$302,Ocena!$K$313,Ocena!$K$324,Ocena!$K$335,Ocena!$K$346,Ocena!$K$360,Ocena!$K$361,Ocena!$K$379,Ocena!$K$390,Ocena!$K$401,Ocena!$K$412))</f>
        <v>1.3947368421052631</v>
      </c>
      <c r="K7" s="9">
        <f>IF(E7=0,"",MEDIAN(Ocena!$L$5,Ocena!$L$16,Ocena!$L$27,Ocena!$L$38,Ocena!$L$49,Ocena!$L$60,Ocena!$L$71,Ocena!$L$82,Ocena!$L$93,Ocena!$L$104,Ocena!$L$115,Ocena!$L$126,Ocena!$L$137,Ocena!$L$148,Ocena!$L$159,Ocena!$L$170,Ocena!$L$181,Ocena!$L$192,Ocena!$L$203,Ocena!$L$214,Ocena!$L$225,Ocena!$L$236,Ocena!$L$247,Ocena!$L$258,Ocena!$L$269,Ocena!$L$280,Ocena!$L$291,Ocena!$L$302,Ocena!$L$313,Ocena!$L$324,Ocena!$L$335,Ocena!$L$346,Ocena!$L$360,Ocena!$L$361,Ocena!$L$379,Ocena!$L$390,Ocena!$L$401,Ocena!$L$412))</f>
        <v>1</v>
      </c>
      <c r="L7" s="9">
        <f>IF(E7=0,"",AVERAGE(Ocena!$L$5,Ocena!$L$16,Ocena!$L$27,Ocena!$L$38,Ocena!$L$49,Ocena!$L$60,Ocena!$L$71,Ocena!$L$82,Ocena!$L$93,Ocena!$L$104,Ocena!$L$115,Ocena!$L$126,Ocena!$L$137,Ocena!$L$148,Ocena!$L$159,Ocena!$L$170,Ocena!$L$181,Ocena!$L$192,Ocena!$L$203,Ocena!$L$214,Ocena!$L$225,Ocena!$L$236,Ocena!$L$247,Ocena!$L$258,Ocena!$L$269,Ocena!$L$280,Ocena!$L$291,Ocena!$L$302,Ocena!$L$313,Ocena!$L$324,Ocena!$L$335,Ocena!$L$346,Ocena!$L$360,Ocena!$L$361,Ocena!$L$379,Ocena!$L$390,Ocena!$L$401,Ocena!$L$412))</f>
        <v>1.368421052631579</v>
      </c>
      <c r="M7" s="9">
        <f>IF(E7=0,"",MEDIAN(Ocena!$M$5,Ocena!$M$16,Ocena!$M$27,Ocena!$M$38,Ocena!$M$49,Ocena!$M$60,Ocena!$M$71,Ocena!$M$82,Ocena!$M$93,Ocena!$M$104,Ocena!$M$115,Ocena!$M$126,Ocena!$M$137,Ocena!$M$148,Ocena!$M$159,Ocena!$M$170,Ocena!$M$181,Ocena!$M$192,Ocena!$M$203,Ocena!$M$214,Ocena!$M$225,Ocena!$M$236,Ocena!$M$247,Ocena!$M$258,Ocena!$M$269,Ocena!$M$280,Ocena!$M$291,Ocena!$M$302,Ocena!$M$313,Ocena!$M$324,Ocena!$M$335,Ocena!$M$346,Ocena!$M$360,Ocena!$M$361,Ocena!$M$379,Ocena!$M$390,Ocena!$M$401,Ocena!$M$412))</f>
        <v>2</v>
      </c>
      <c r="N7" s="9">
        <f>IF(E7=0,"",AVERAGE(Ocena!$M$5,Ocena!$M$16,Ocena!$M$27,Ocena!$M$38,Ocena!$M$49,Ocena!$M$60,Ocena!$M$71,Ocena!$M$82,Ocena!$M$93,Ocena!$M$104,Ocena!$M$115,Ocena!$M$126,Ocena!$M$137,Ocena!$M$148,Ocena!$M$159,Ocena!$M$170,Ocena!$M$181,Ocena!$M$192,Ocena!$M$203,Ocena!$M$214,Ocena!$M$225,Ocena!$M$236,Ocena!$M$247,Ocena!$M$258,Ocena!$M$269,Ocena!$M$280,Ocena!$M$291,Ocena!$M$302,Ocena!$M$313,Ocena!$M$324,Ocena!$M$335,Ocena!$M$346,Ocena!$M$360,Ocena!$M$361,Ocena!$M$379,Ocena!$M$390,Ocena!$M$401,Ocena!$M$412))</f>
        <v>1.7105263157894737</v>
      </c>
      <c r="O7" s="9">
        <f>IF(E7=0,"",MEDIAN(Ocena!$N$5,Ocena!$N$16,Ocena!$N$27,Ocena!$N$38,Ocena!$N$49,Ocena!$N$60,Ocena!$N$71,Ocena!$N$82,Ocena!$N$93,Ocena!$N$104,Ocena!$N$115,Ocena!$N$126,Ocena!$N$137,Ocena!$N$148,Ocena!$N$159,Ocena!$N$170,Ocena!$N$181,Ocena!$N$192,Ocena!$N$203,Ocena!$N$214,Ocena!$N$225,Ocena!$N$236,Ocena!$N$247,Ocena!$N$258,Ocena!$N$269,Ocena!$N$280,Ocena!$N$291,Ocena!$N$302,Ocena!$N$313,Ocena!$N$324,Ocena!$N$335,Ocena!$N$346,Ocena!$N$360,Ocena!$N$361,Ocena!$N$379,Ocena!$N$390,Ocena!$N$401,Ocena!$N$412))</f>
        <v>1</v>
      </c>
      <c r="P7" s="9">
        <f>IF(E7=0,"",AVERAGE(Ocena!$N$5,Ocena!$N$16,Ocena!$N$27,Ocena!$N$38,Ocena!$N$49,Ocena!$N$60,Ocena!$N$71,Ocena!$N$82,Ocena!$N$93,Ocena!$N$104,Ocena!$N$115,Ocena!$N$126,Ocena!$N$137,Ocena!$N$148,Ocena!$N$159,Ocena!$N$170,Ocena!$N$181,Ocena!$N$192,Ocena!$N$203,Ocena!$N$214,Ocena!$N$225,Ocena!$N$236,Ocena!$N$247,Ocena!$N$258,Ocena!$N$269,Ocena!$N$280,Ocena!$N$291,Ocena!$N$302,Ocena!$N$313,Ocena!$N$324,Ocena!$N$335,Ocena!$N$346,Ocena!$N$360,Ocena!$N$361,Ocena!$N$379,Ocena!$N$390,Ocena!$N$401,Ocena!$N$412))</f>
        <v>1.4736842105263157</v>
      </c>
      <c r="Q7" s="9">
        <f>IF(E7=0,"",MIN(Ocena!$O$5,Ocena!$O$16,Ocena!$O$27,Ocena!$O$38,Ocena!$O$49,Ocena!$O$60,Ocena!$O$71,Ocena!$O$82,Ocena!$O$93,Ocena!$O$104,Ocena!$O$115,Ocena!$O$126,Ocena!$O$137,Ocena!$O$148,Ocena!$O$159,Ocena!$O$170,Ocena!$O$181,Ocena!$O$192,Ocena!$O$203,Ocena!$O$214,Ocena!$O$225,Ocena!$O$236,Ocena!$O$247,Ocena!$O$258,Ocena!$O$269,Ocena!$O$280,Ocena!$O$291,Ocena!$O$302,Ocena!$O$313,Ocena!$O$324,Ocena!$O$335,Ocena!$O$346,Ocena!$O$360,Ocena!$O$361,Ocena!$O$379,Ocena!$O$390,Ocena!$O$401,Ocena!$O$412))</f>
        <v>0</v>
      </c>
      <c r="R7" s="9">
        <f>IF(E7=0,"",MAX(Ocena!$O$5,Ocena!$O$16,Ocena!$O$27,Ocena!$O$38,Ocena!$O$49,Ocena!$O$60,Ocena!$O$71,Ocena!$O$82,Ocena!$O$93,Ocena!$O$104,Ocena!$O$115,Ocena!$O$126,Ocena!$O$137,Ocena!$O$148,Ocena!$O$159,Ocena!$O$170,Ocena!$O$181,Ocena!$O$192,Ocena!$O$203,Ocena!$O$214,Ocena!$O$225,Ocena!$O$236,Ocena!$O$247,Ocena!$O$258,Ocena!$O$269,Ocena!$O$280,Ocena!$O$291,Ocena!$O$302,Ocena!$O$313,Ocena!$O$324,Ocena!$O$335,Ocena!$O$346,Ocena!$O$360,Ocena!$O$361,Ocena!$O$379,Ocena!$O$390,Ocena!$O$401,Ocena!$O$412))</f>
        <v>10</v>
      </c>
      <c r="S7" s="10">
        <f>IF(AND(COUNT(Ocena!$K$5:$N$5)=4,COUNTIF(Ocena!$K$5:$N$5,0)=4),1,0)+IF(AND(COUNT(Ocena!$K$16:$N$16)=4,COUNTIF(Ocena!$K$16:$N$16,0)=4),1,0)+IF(AND(COUNT(Ocena!$K$27:$N$27)=4,COUNTIF(Ocena!$K$27:$N$27,0)=4),1,0)+IF(AND(COUNT(Ocena!$K$38:$N$38)=4,COUNTIF(Ocena!$K$38:$N$38,0)=4),1,0)+IF(AND(COUNT(Ocena!$K$49:$N$49)=4,COUNTIF(Ocena!$K$49:$N$49,0)=4),1,0)+IF(AND(COUNT(Ocena!$K$60:$N$60)=4,COUNTIF(Ocena!$K$60:$N$60,0)=4),1,0)+IF(AND(COUNT(Ocena!$K$71:$N$71)=4,COUNTIF(Ocena!$K$71:$N$71,0)=4),1,0)+IF(AND(COUNT(Ocena!$K$82:$N$82)=4,COUNTIF(Ocena!$K$82:$N$82,0)=4),1,0)+IF(AND(COUNT(Ocena!$K$93:$N$93)=4,COUNTIF(Ocena!$K$93:$N$93,0)=4),1,0)+IF(AND(COUNT(Ocena!$K$104:$N$104)=4,COUNTIF(Ocena!$K$104:$N$104,0)=4),1,0)+IF(AND(COUNT(Ocena!$K$115:$N$115)=4,COUNTIF(Ocena!$K$115:$N$115,0)=4),1,0)+IF(AND(COUNT(Ocena!$K$126:$N$126)=4,COUNTIF(Ocena!$K$126:$N$126,0)=4),1,0)+IF(AND(COUNT(Ocena!$K$137:$N$137)=4,COUNTIF(Ocena!$K$137:$N$137,0)=4),1,0)+IF(AND(COUNT(Ocena!$K$148:$N$148)=4,COUNTIF(Ocena!$K$148:$N$148,0)=4),1,0)+IF(AND(COUNT(Ocena!$K$159:$N$159)=4,COUNTIF(Ocena!$K$159:$N$159,0)=4),1,0)+IF(AND(COUNT(Ocena!$K$170:$N$170)=4,COUNTIF(Ocena!$K$170:$N$170,0)=4),1,0)+IF(AND(COUNT(Ocena!$K$181:$N$181)=4,COUNTIF(Ocena!$K$181:$N$181,0)=4),1,0)+IF(AND(COUNT(Ocena!$K$192:$N$192)=4,COUNTIF(Ocena!$K$192:$N$192,0)=4),1,0)+IF(AND(COUNT(Ocena!$K$203:$N$203)=4,COUNTIF(Ocena!$K$203:$N$203,0)=4),1,0)+IF(AND(COUNT(Ocena!$K$214:$N$214)=4,COUNTIF(Ocena!$K$214:$N$214,0)=4),1,0)+IF(AND(COUNT(Ocena!$K$225:$N$225)=4,COUNTIF(Ocena!$K$225:$N$225,0)=4),1,0)+IF(AND(COUNT(Ocena!$K$236:$N$236)=4,COUNTIF(Ocena!$K$236:$N$236,0)=4),1,0)+IF(AND(COUNT(Ocena!$K$247:$N$247)=4,COUNTIF(Ocena!$K$247:$N$247,0)=4),1,0)+IF(AND(COUNT(Ocena!$K$258:$N$258)=4,COUNTIF(Ocena!$K$258:$N$258,0)=4),1,0)+IF(AND(COUNT(Ocena!$K$269:$N$269)=4,COUNTIF(Ocena!$K$269:$N$269,0)=4),1,0)+IF(AND(COUNT(Ocena!$K$280:$N$280)=4,COUNTIF(Ocena!$K$280:$N$280,0)=4),1,0)+IF(AND(COUNT(Ocena!$K$291:$N$291)=4,COUNTIF(Ocena!$K$291:$N$291,0)=4),1,0)+IF(AND(COUNT(Ocena!$K$302:$N$302)=4,COUNTIF(Ocena!$K$302:$N$302,0)=4),1,0)+IF(AND(COUNT(Ocena!$K$313:$N$313)=4,COUNTIF(Ocena!$K$313:$N$313,0)=4),1,0)+IF(AND(COUNT(Ocena!$K$324:$N$324)=4,COUNTIF(Ocena!$K$324:$N$324,0)=4),1,0)+IF(AND(COUNT(Ocena!$K$335:$N$335)=4,COUNTIF(Ocena!$K$335:$N$335,0)=4),1,0)+IF(AND(COUNT(Ocena!$K$346:$N$346)=4,COUNTIF(Ocena!$K$346:$N$346,0)=4),1,0)+IF(AND(COUNT(Ocena!$K$360:$N$360)=4,COUNTIF(Ocena!$K$360:$N$360,0)=4),1,0)+IF(AND(COUNT(Ocena!$K$361:$N$361)=4,COUNTIF(Ocena!$K$361:$N$361,0)=4),1,0)+IF(AND(COUNT(Ocena!$K$379:$N$379)=4,COUNTIF(Ocena!$K$379:$N$379,0)=4),1,0)+IF(AND(COUNT(Ocena!$K$390:$N$390)=4,COUNTIF(Ocena!$K$390:$N$390,0)=4),1,0)+IF(AND(COUNT(Ocena!$K$401:$N$401)=4,COUNTIF(Ocena!$K$401:$N$401,0)=4),1,0)+IF(AND(COUNT(Ocena!$K$412:$N$412)=4,COUNTIF(Ocena!$K$412:$N$412,0)=4),1,0)</f>
        <v>1</v>
      </c>
      <c r="T7" s="8">
        <f t="shared" si="1"/>
        <v>2.6315789473684209E-2</v>
      </c>
    </row>
    <row r="8" spans="1:20" ht="27.95" customHeight="1" x14ac:dyDescent="0.25">
      <c r="A8" s="2" t="s">
        <v>31</v>
      </c>
      <c r="B8" s="10">
        <v>4</v>
      </c>
      <c r="C8" s="10">
        <v>4</v>
      </c>
      <c r="D8" s="10">
        <v>38</v>
      </c>
      <c r="E8" s="10">
        <f>COUNT(Ocena!$O$8,Ocena!$O$19,Ocena!$O$30,Ocena!$O$41,Ocena!$O$52,Ocena!$O$63,Ocena!$O$74,Ocena!$O$85,Ocena!$O$96,Ocena!$O$107,Ocena!$O$118,Ocena!$O$129,Ocena!$O$140,Ocena!$O$151,Ocena!$O$162,Ocena!$O$173,Ocena!$O$184,Ocena!$O$195,Ocena!$O$206,Ocena!$O$217,Ocena!$O$228,Ocena!$O$239,Ocena!$O$250,Ocena!$O$261,Ocena!$O$272,Ocena!$O$283,Ocena!$O$294,Ocena!$O$305,Ocena!$O$316,Ocena!$O$327,Ocena!$O$338,Ocena!$O$349,Ocena!$O$366,Ocena!$O$367,Ocena!$O$382,Ocena!$O$393,Ocena!$O$404,Ocena!$O$415)</f>
        <v>38</v>
      </c>
      <c r="F8" s="8">
        <f t="shared" si="0"/>
        <v>1</v>
      </c>
      <c r="G8" s="9">
        <f>IF(E8=0,"",MEDIAN(Ocena!$O$8,Ocena!$O$19,Ocena!$O$30,Ocena!$O$41,Ocena!$O$52,Ocena!$O$63,Ocena!$O$74,Ocena!$O$85,Ocena!$O$96,Ocena!$O$107,Ocena!$O$118,Ocena!$O$129,Ocena!$O$140,Ocena!$O$151,Ocena!$O$162,Ocena!$O$173,Ocena!$O$184,Ocena!$O$195,Ocena!$O$206,Ocena!$O$217,Ocena!$O$228,Ocena!$O$239,Ocena!$O$250,Ocena!$O$261,Ocena!$O$272,Ocena!$O$283,Ocena!$O$294,Ocena!$O$305,Ocena!$O$316,Ocena!$O$327,Ocena!$O$338,Ocena!$O$349,Ocena!$O$366,Ocena!$O$367,Ocena!$O$382,Ocena!$O$393,Ocena!$O$404,Ocena!$O$415))</f>
        <v>6</v>
      </c>
      <c r="H8" s="9">
        <f>IF(E8=0,"",AVERAGE(Ocena!$O$8,Ocena!$O$19,Ocena!$O$30,Ocena!$O$41,Ocena!$O$52,Ocena!$O$63,Ocena!$O$74,Ocena!$O$85,Ocena!$O$96,Ocena!$O$107,Ocena!$O$118,Ocena!$O$129,Ocena!$O$140,Ocena!$O$151,Ocena!$O$162,Ocena!$O$173,Ocena!$O$184,Ocena!$O$195,Ocena!$O$206,Ocena!$O$217,Ocena!$O$228,Ocena!$O$239,Ocena!$O$250,Ocena!$O$261,Ocena!$O$272,Ocena!$O$283,Ocena!$O$294,Ocena!$O$305,Ocena!$O$316,Ocena!$O$327,Ocena!$O$338,Ocena!$O$349,Ocena!$O$366,Ocena!$O$367,Ocena!$O$382,Ocena!$O$393,Ocena!$O$404,Ocena!$O$415))</f>
        <v>6.0789473684210522</v>
      </c>
      <c r="I8" s="9">
        <f>IF(E8=0,"",MEDIAN(Ocena!$K$8,Ocena!$K$19,Ocena!$K$30,Ocena!$K$41,Ocena!$K$52,Ocena!$K$63,Ocena!$K$74,Ocena!$K$85,Ocena!$K$96,Ocena!$K$107,Ocena!$K$118,Ocena!$K$129,Ocena!$K$140,Ocena!$K$151,Ocena!$K$162,Ocena!$K$173,Ocena!$K$184,Ocena!$K$195,Ocena!$K$206,Ocena!$K$217,Ocena!$K$228,Ocena!$K$239,Ocena!$K$250,Ocena!$K$261,Ocena!$K$272,Ocena!$K$283,Ocena!$K$294,Ocena!$K$305,Ocena!$K$316,Ocena!$K$327,Ocena!$K$338,Ocena!$K$349,Ocena!$K$366,Ocena!$K$367,Ocena!$K$382,Ocena!$K$393,Ocena!$K$404,Ocena!$K$415))</f>
        <v>2</v>
      </c>
      <c r="J8" s="9">
        <f>IF(E8=0,"",AVERAGE(Ocena!$K$8,Ocena!$K$19,Ocena!$K$30,Ocena!$K$41,Ocena!$K$52,Ocena!$K$63,Ocena!$K$74,Ocena!$K$85,Ocena!$K$96,Ocena!$K$107,Ocena!$K$118,Ocena!$K$129,Ocena!$K$140,Ocena!$K$151,Ocena!$K$162,Ocena!$K$173,Ocena!$K$184,Ocena!$K$195,Ocena!$K$206,Ocena!$K$217,Ocena!$K$228,Ocena!$K$239,Ocena!$K$250,Ocena!$K$261,Ocena!$K$272,Ocena!$K$283,Ocena!$K$294,Ocena!$K$305,Ocena!$K$316,Ocena!$K$327,Ocena!$K$338,Ocena!$K$349,Ocena!$K$366,Ocena!$K$367,Ocena!$K$382,Ocena!$K$393,Ocena!$K$404,Ocena!$K$415))</f>
        <v>1.5263157894736843</v>
      </c>
      <c r="K8" s="9">
        <f>IF(E8=0,"",MEDIAN(Ocena!$L$8,Ocena!$L$19,Ocena!$L$30,Ocena!$L$41,Ocena!$L$52,Ocena!$L$63,Ocena!$L$74,Ocena!$L$85,Ocena!$L$96,Ocena!$L$107,Ocena!$L$118,Ocena!$L$129,Ocena!$L$140,Ocena!$L$151,Ocena!$L$162,Ocena!$L$173,Ocena!$L$184,Ocena!$L$195,Ocena!$L$206,Ocena!$L$217,Ocena!$L$228,Ocena!$L$239,Ocena!$L$250,Ocena!$L$261,Ocena!$L$272,Ocena!$L$283,Ocena!$L$294,Ocena!$L$305,Ocena!$L$316,Ocena!$L$327,Ocena!$L$338,Ocena!$L$349,Ocena!$L$366,Ocena!$L$367,Ocena!$L$382,Ocena!$L$393,Ocena!$L$404,Ocena!$L$415))</f>
        <v>1</v>
      </c>
      <c r="L8" s="9">
        <f>IF(E8=0,"",AVERAGE(Ocena!$L$8,Ocena!$L$19,Ocena!$L$30,Ocena!$L$41,Ocena!$L$52,Ocena!$L$63,Ocena!$L$74,Ocena!$L$85,Ocena!$L$96,Ocena!$L$107,Ocena!$L$118,Ocena!$L$129,Ocena!$L$140,Ocena!$L$151,Ocena!$L$162,Ocena!$L$173,Ocena!$L$184,Ocena!$L$195,Ocena!$L$206,Ocena!$L$217,Ocena!$L$228,Ocena!$L$239,Ocena!$L$250,Ocena!$L$261,Ocena!$L$272,Ocena!$L$283,Ocena!$L$294,Ocena!$L$305,Ocena!$L$316,Ocena!$L$327,Ocena!$L$338,Ocena!$L$349,Ocena!$L$366,Ocena!$L$367,Ocena!$L$382,Ocena!$L$393,Ocena!$L$404,Ocena!$L$415))</f>
        <v>1.4210526315789473</v>
      </c>
      <c r="M8" s="9">
        <f>IF(E8=0,"",MEDIAN(Ocena!$M$8,Ocena!$M$19,Ocena!$M$30,Ocena!$M$41,Ocena!$M$52,Ocena!$M$63,Ocena!$M$74,Ocena!$M$85,Ocena!$M$96,Ocena!$M$107,Ocena!$M$118,Ocena!$M$129,Ocena!$M$140,Ocena!$M$151,Ocena!$M$162,Ocena!$M$173,Ocena!$M$184,Ocena!$M$195,Ocena!$M$206,Ocena!$M$217,Ocena!$M$228,Ocena!$M$239,Ocena!$M$250,Ocena!$M$261,Ocena!$M$272,Ocena!$M$283,Ocena!$M$294,Ocena!$M$305,Ocena!$M$316,Ocena!$M$327,Ocena!$M$338,Ocena!$M$349,Ocena!$M$366,Ocena!$M$367,Ocena!$M$382,Ocena!$M$393,Ocena!$M$404,Ocena!$M$415))</f>
        <v>2</v>
      </c>
      <c r="N8" s="9">
        <f>IF(E8=0,"",AVERAGE(Ocena!$M$8,Ocena!$M$19,Ocena!$M$30,Ocena!$M$41,Ocena!$M$52,Ocena!$M$63,Ocena!$M$74,Ocena!$M$85,Ocena!$M$96,Ocena!$M$107,Ocena!$M$118,Ocena!$M$129,Ocena!$M$140,Ocena!$M$151,Ocena!$M$162,Ocena!$M$173,Ocena!$M$184,Ocena!$M$195,Ocena!$M$206,Ocena!$M$217,Ocena!$M$228,Ocena!$M$239,Ocena!$M$250,Ocena!$M$261,Ocena!$M$272,Ocena!$M$283,Ocena!$M$294,Ocena!$M$305,Ocena!$M$316,Ocena!$M$327,Ocena!$M$338,Ocena!$M$349,Ocena!$M$366,Ocena!$M$367,Ocena!$M$382,Ocena!$M$393,Ocena!$M$404,Ocena!$M$415))</f>
        <v>1.5263157894736843</v>
      </c>
      <c r="O8" s="9">
        <f>IF(E8=0,"",MEDIAN(Ocena!$N$8,Ocena!$N$19,Ocena!$N$30,Ocena!$N$41,Ocena!$N$52,Ocena!$N$63,Ocena!$N$74,Ocena!$N$85,Ocena!$N$96,Ocena!$N$107,Ocena!$N$118,Ocena!$N$129,Ocena!$N$140,Ocena!$N$151,Ocena!$N$162,Ocena!$N$173,Ocena!$N$184,Ocena!$N$195,Ocena!$N$206,Ocena!$N$217,Ocena!$N$228,Ocena!$N$239,Ocena!$N$250,Ocena!$N$261,Ocena!$N$272,Ocena!$N$283,Ocena!$N$294,Ocena!$N$305,Ocena!$N$316,Ocena!$N$327,Ocena!$N$338,Ocena!$N$349,Ocena!$N$366,Ocena!$N$367,Ocena!$N$382,Ocena!$N$393,Ocena!$N$404,Ocena!$N$415))</f>
        <v>2</v>
      </c>
      <c r="P8" s="9">
        <f>IF(E8=0,"",AVERAGE(Ocena!$N$8,Ocena!$N$19,Ocena!$N$30,Ocena!$N$41,Ocena!$N$52,Ocena!$N$63,Ocena!$N$74,Ocena!$N$85,Ocena!$N$96,Ocena!$N$107,Ocena!$N$118,Ocena!$N$129,Ocena!$N$140,Ocena!$N$151,Ocena!$N$162,Ocena!$N$173,Ocena!$N$184,Ocena!$N$195,Ocena!$N$206,Ocena!$N$217,Ocena!$N$228,Ocena!$N$239,Ocena!$N$250,Ocena!$N$261,Ocena!$N$272,Ocena!$N$283,Ocena!$N$294,Ocena!$N$305,Ocena!$N$316,Ocena!$N$327,Ocena!$N$338,Ocena!$N$349,Ocena!$N$366,Ocena!$N$367,Ocena!$N$382,Ocena!$N$393,Ocena!$N$404,Ocena!$N$415))</f>
        <v>1.6052631578947369</v>
      </c>
      <c r="Q8" s="9">
        <f>IF(E8=0,"",MIN(Ocena!$O$8,Ocena!$O$19,Ocena!$O$30,Ocena!$O$41,Ocena!$O$52,Ocena!$O$63,Ocena!$O$74,Ocena!$O$85,Ocena!$O$96,Ocena!$O$107,Ocena!$O$118,Ocena!$O$129,Ocena!$O$140,Ocena!$O$151,Ocena!$O$162,Ocena!$O$173,Ocena!$O$184,Ocena!$O$195,Ocena!$O$206,Ocena!$O$217,Ocena!$O$228,Ocena!$O$239,Ocena!$O$250,Ocena!$O$261,Ocena!$O$272,Ocena!$O$283,Ocena!$O$294,Ocena!$O$305,Ocena!$O$316,Ocena!$O$327,Ocena!$O$338,Ocena!$O$349,Ocena!$O$366,Ocena!$O$367,Ocena!$O$382,Ocena!$O$393,Ocena!$O$404,Ocena!$O$415))</f>
        <v>0</v>
      </c>
      <c r="R8" s="9">
        <f>IF(E8=0,"",MAX(Ocena!$O$8,Ocena!$O$19,Ocena!$O$30,Ocena!$O$41,Ocena!$O$52,Ocena!$O$63,Ocena!$O$74,Ocena!$O$85,Ocena!$O$96,Ocena!$O$107,Ocena!$O$118,Ocena!$O$129,Ocena!$O$140,Ocena!$O$151,Ocena!$O$162,Ocena!$O$173,Ocena!$O$184,Ocena!$O$195,Ocena!$O$206,Ocena!$O$217,Ocena!$O$228,Ocena!$O$239,Ocena!$O$250,Ocena!$O$261,Ocena!$O$272,Ocena!$O$283,Ocena!$O$294,Ocena!$O$305,Ocena!$O$316,Ocena!$O$327,Ocena!$O$338,Ocena!$O$349,Ocena!$O$366,Ocena!$O$367,Ocena!$O$382,Ocena!$O$393,Ocena!$O$404,Ocena!$O$415))</f>
        <v>9</v>
      </c>
      <c r="S8" s="10">
        <f>IF(AND(COUNT(Ocena!$K$8:$N$8)=4,COUNTIF(Ocena!$K$8:$N$8,0)=4),1,0)+IF(AND(COUNT(Ocena!$K$19:$N$19)=4,COUNTIF(Ocena!$K$19:$N$19,0)=4),1,0)+IF(AND(COUNT(Ocena!$K$30:$N$30)=4,COUNTIF(Ocena!$K$30:$N$30,0)=4),1,0)+IF(AND(COUNT(Ocena!$K$41:$N$41)=4,COUNTIF(Ocena!$K$41:$N$41,0)=4),1,0)+IF(AND(COUNT(Ocena!$K$52:$N$52)=4,COUNTIF(Ocena!$K$52:$N$52,0)=4),1,0)+IF(AND(COUNT(Ocena!$K$63:$N$63)=4,COUNTIF(Ocena!$K$63:$N$63,0)=4),1,0)+IF(AND(COUNT(Ocena!$K$74:$N$74)=4,COUNTIF(Ocena!$K$74:$N$74,0)=4),1,0)+IF(AND(COUNT(Ocena!$K$85:$N$85)=4,COUNTIF(Ocena!$K$85:$N$85,0)=4),1,0)+IF(AND(COUNT(Ocena!$K$96:$N$96)=4,COUNTIF(Ocena!$K$96:$N$96,0)=4),1,0)+IF(AND(COUNT(Ocena!$K$107:$N$107)=4,COUNTIF(Ocena!$K$107:$N$107,0)=4),1,0)+IF(AND(COUNT(Ocena!$K$118:$N$118)=4,COUNTIF(Ocena!$K$118:$N$118,0)=4),1,0)+IF(AND(COUNT(Ocena!$K$129:$N$129)=4,COUNTIF(Ocena!$K$129:$N$129,0)=4),1,0)+IF(AND(COUNT(Ocena!$K$140:$N$140)=4,COUNTIF(Ocena!$K$140:$N$140,0)=4),1,0)+IF(AND(COUNT(Ocena!$K$151:$N$151)=4,COUNTIF(Ocena!$K$151:$N$151,0)=4),1,0)+IF(AND(COUNT(Ocena!$K$162:$N$162)=4,COUNTIF(Ocena!$K$162:$N$162,0)=4),1,0)+IF(AND(COUNT(Ocena!$K$173:$N$173)=4,COUNTIF(Ocena!$K$173:$N$173,0)=4),1,0)+IF(AND(COUNT(Ocena!$K$184:$N$184)=4,COUNTIF(Ocena!$K$184:$N$184,0)=4),1,0)+IF(AND(COUNT(Ocena!$K$195:$N$195)=4,COUNTIF(Ocena!$K$195:$N$195,0)=4),1,0)+IF(AND(COUNT(Ocena!$K$206:$N$206)=4,COUNTIF(Ocena!$K$206:$N$206,0)=4),1,0)+IF(AND(COUNT(Ocena!$K$217:$N$217)=4,COUNTIF(Ocena!$K$217:$N$217,0)=4),1,0)+IF(AND(COUNT(Ocena!$K$228:$N$228)=4,COUNTIF(Ocena!$K$228:$N$228,0)=4),1,0)+IF(AND(COUNT(Ocena!$K$239:$N$239)=4,COUNTIF(Ocena!$K$239:$N$239,0)=4),1,0)+IF(AND(COUNT(Ocena!$K$250:$N$250)=4,COUNTIF(Ocena!$K$250:$N$250,0)=4),1,0)+IF(AND(COUNT(Ocena!$K$261:$N$261)=4,COUNTIF(Ocena!$K$261:$N$261,0)=4),1,0)+IF(AND(COUNT(Ocena!$K$272:$N$272)=4,COUNTIF(Ocena!$K$272:$N$272,0)=4),1,0)+IF(AND(COUNT(Ocena!$K$283:$N$283)=4,COUNTIF(Ocena!$K$283:$N$283,0)=4),1,0)+IF(AND(COUNT(Ocena!$K$294:$N$294)=4,COUNTIF(Ocena!$K$294:$N$294,0)=4),1,0)+IF(AND(COUNT(Ocena!$K$305:$N$305)=4,COUNTIF(Ocena!$K$305:$N$305,0)=4),1,0)+IF(AND(COUNT(Ocena!$K$316:$N$316)=4,COUNTIF(Ocena!$K$316:$N$316,0)=4),1,0)+IF(AND(COUNT(Ocena!$K$327:$N$327)=4,COUNTIF(Ocena!$K$327:$N$327,0)=4),1,0)+IF(AND(COUNT(Ocena!$K$338:$N$338)=4,COUNTIF(Ocena!$K$338:$N$338,0)=4),1,0)+IF(AND(COUNT(Ocena!$K$349:$N$349)=4,COUNTIF(Ocena!$K$349:$N$349,0)=4),1,0)+IF(AND(COUNT(Ocena!$K$366:$N$366)=4,COUNTIF(Ocena!$K$366:$N$366,0)=4),1,0)+IF(AND(COUNT(Ocena!$K$367:$N$367)=4,COUNTIF(Ocena!$K$367:$N$367,0)=4),1,0)+IF(AND(COUNT(Ocena!$K$382:$N$382)=4,COUNTIF(Ocena!$K$382:$N$382,0)=4),1,0)+IF(AND(COUNT(Ocena!$K$393:$N$393)=4,COUNTIF(Ocena!$K$393:$N$393,0)=4),1,0)+IF(AND(COUNT(Ocena!$K$404:$N$404)=4,COUNTIF(Ocena!$K$404:$N$404,0)=4),1,0)+IF(AND(COUNT(Ocena!$K$415:$N$415)=4,COUNTIF(Ocena!$K$415:$N$415,0)=4),1,0)</f>
        <v>1</v>
      </c>
      <c r="T8" s="8">
        <f t="shared" si="1"/>
        <v>2.6315789473684209E-2</v>
      </c>
    </row>
    <row r="9" spans="1:20" ht="27.95" customHeight="1" x14ac:dyDescent="0.25">
      <c r="A9" s="2" t="s">
        <v>31</v>
      </c>
      <c r="B9" s="10">
        <v>8</v>
      </c>
      <c r="C9" s="10">
        <v>8</v>
      </c>
      <c r="D9" s="10">
        <v>38</v>
      </c>
      <c r="E9" s="10">
        <f>COUNT(Ocena!$O$11,Ocena!$O$22,Ocena!$O$33,Ocena!$O$44,Ocena!$O$55,Ocena!$O$66,Ocena!$O$77,Ocena!$O$88,Ocena!$O$99,Ocena!$O$110,Ocena!$O$121,Ocena!$O$132,Ocena!$O$143,Ocena!$O$154,Ocena!$O$165,Ocena!$O$176,Ocena!$O$187,Ocena!$O$198,Ocena!$O$209,Ocena!$O$220,Ocena!$O$231,Ocena!$O$242,Ocena!$O$253,Ocena!$O$264,Ocena!$O$275,Ocena!$O$286,Ocena!$O$297,Ocena!$O$308,Ocena!$O$319,Ocena!$O$330,Ocena!$O$341,Ocena!$O$352,Ocena!$O$372,Ocena!$O$373,Ocena!$O$385,Ocena!$O$396,Ocena!$O$407,Ocena!$O$418)</f>
        <v>38</v>
      </c>
      <c r="F9" s="8">
        <f t="shared" si="0"/>
        <v>1</v>
      </c>
      <c r="G9" s="9">
        <f>IF(E9=0,"",MEDIAN(Ocena!$O$11,Ocena!$O$22,Ocena!$O$33,Ocena!$O$44,Ocena!$O$55,Ocena!$O$66,Ocena!$O$77,Ocena!$O$88,Ocena!$O$99,Ocena!$O$110,Ocena!$O$121,Ocena!$O$132,Ocena!$O$143,Ocena!$O$154,Ocena!$O$165,Ocena!$O$176,Ocena!$O$187,Ocena!$O$198,Ocena!$O$209,Ocena!$O$220,Ocena!$O$231,Ocena!$O$242,Ocena!$O$253,Ocena!$O$264,Ocena!$O$275,Ocena!$O$286,Ocena!$O$297,Ocena!$O$308,Ocena!$O$319,Ocena!$O$330,Ocena!$O$341,Ocena!$O$352,Ocena!$O$372,Ocena!$O$373,Ocena!$O$385,Ocena!$O$396,Ocena!$O$407,Ocena!$O$418))</f>
        <v>6</v>
      </c>
      <c r="H9" s="9">
        <f>IF(E9=0,"",AVERAGE(Ocena!$O$11,Ocena!$O$22,Ocena!$O$33,Ocena!$O$44,Ocena!$O$55,Ocena!$O$66,Ocena!$O$77,Ocena!$O$88,Ocena!$O$99,Ocena!$O$110,Ocena!$O$121,Ocena!$O$132,Ocena!$O$143,Ocena!$O$154,Ocena!$O$165,Ocena!$O$176,Ocena!$O$187,Ocena!$O$198,Ocena!$O$209,Ocena!$O$220,Ocena!$O$231,Ocena!$O$242,Ocena!$O$253,Ocena!$O$264,Ocena!$O$275,Ocena!$O$286,Ocena!$O$297,Ocena!$O$308,Ocena!$O$319,Ocena!$O$330,Ocena!$O$341,Ocena!$O$352,Ocena!$O$372,Ocena!$O$373,Ocena!$O$385,Ocena!$O$396,Ocena!$O$407,Ocena!$O$418))</f>
        <v>6</v>
      </c>
      <c r="I9" s="9">
        <f>IF(E9=0,"",MEDIAN(Ocena!$K$11,Ocena!$K$22,Ocena!$K$33,Ocena!$K$44,Ocena!$K$55,Ocena!$K$66,Ocena!$K$77,Ocena!$K$88,Ocena!$K$99,Ocena!$K$110,Ocena!$K$121,Ocena!$K$132,Ocena!$K$143,Ocena!$K$154,Ocena!$K$165,Ocena!$K$176,Ocena!$K$187,Ocena!$K$198,Ocena!$K$209,Ocena!$K$220,Ocena!$K$231,Ocena!$K$242,Ocena!$K$253,Ocena!$K$264,Ocena!$K$275,Ocena!$K$286,Ocena!$K$297,Ocena!$K$308,Ocena!$K$319,Ocena!$K$330,Ocena!$K$341,Ocena!$K$352,Ocena!$K$372,Ocena!$K$373,Ocena!$K$385,Ocena!$K$396,Ocena!$K$407,Ocena!$K$418))</f>
        <v>2</v>
      </c>
      <c r="J9" s="9">
        <f>IF(E9=0,"",AVERAGE(Ocena!$K$11,Ocena!$K$22,Ocena!$K$33,Ocena!$K$44,Ocena!$K$55,Ocena!$K$66,Ocena!$K$77,Ocena!$K$88,Ocena!$K$99,Ocena!$K$110,Ocena!$K$121,Ocena!$K$132,Ocena!$K$143,Ocena!$K$154,Ocena!$K$165,Ocena!$K$176,Ocena!$K$187,Ocena!$K$198,Ocena!$K$209,Ocena!$K$220,Ocena!$K$231,Ocena!$K$242,Ocena!$K$253,Ocena!$K$264,Ocena!$K$275,Ocena!$K$286,Ocena!$K$297,Ocena!$K$308,Ocena!$K$319,Ocena!$K$330,Ocena!$K$341,Ocena!$K$352,Ocena!$K$372,Ocena!$K$373,Ocena!$K$385,Ocena!$K$396,Ocena!$K$407,Ocena!$K$418))</f>
        <v>1.6052631578947369</v>
      </c>
      <c r="K9" s="9">
        <f>IF(E9=0,"",MEDIAN(Ocena!$L$11,Ocena!$L$22,Ocena!$L$33,Ocena!$L$44,Ocena!$L$55,Ocena!$L$66,Ocena!$L$77,Ocena!$L$88,Ocena!$L$99,Ocena!$L$110,Ocena!$L$121,Ocena!$L$132,Ocena!$L$143,Ocena!$L$154,Ocena!$L$165,Ocena!$L$176,Ocena!$L$187,Ocena!$L$198,Ocena!$L$209,Ocena!$L$220,Ocena!$L$231,Ocena!$L$242,Ocena!$L$253,Ocena!$L$264,Ocena!$L$275,Ocena!$L$286,Ocena!$L$297,Ocena!$L$308,Ocena!$L$319,Ocena!$L$330,Ocena!$L$341,Ocena!$L$352,Ocena!$L$372,Ocena!$L$373,Ocena!$L$385,Ocena!$L$396,Ocena!$L$407,Ocena!$L$418))</f>
        <v>1</v>
      </c>
      <c r="L9" s="9">
        <f>IF(E9=0,"",AVERAGE(Ocena!$L$11,Ocena!$L$22,Ocena!$L$33,Ocena!$L$44,Ocena!$L$55,Ocena!$L$66,Ocena!$L$77,Ocena!$L$88,Ocena!$L$99,Ocena!$L$110,Ocena!$L$121,Ocena!$L$132,Ocena!$L$143,Ocena!$L$154,Ocena!$L$165,Ocena!$L$176,Ocena!$L$187,Ocena!$L$198,Ocena!$L$209,Ocena!$L$220,Ocena!$L$231,Ocena!$L$242,Ocena!$L$253,Ocena!$L$264,Ocena!$L$275,Ocena!$L$286,Ocena!$L$297,Ocena!$L$308,Ocena!$L$319,Ocena!$L$330,Ocena!$L$341,Ocena!$L$352,Ocena!$L$372,Ocena!$L$373,Ocena!$L$385,Ocena!$L$396,Ocena!$L$407,Ocena!$L$418))</f>
        <v>1.3947368421052631</v>
      </c>
      <c r="M9" s="9">
        <f>IF(E9=0,"",MEDIAN(Ocena!$M$11,Ocena!$M$22,Ocena!$M$33,Ocena!$M$44,Ocena!$M$55,Ocena!$M$66,Ocena!$M$77,Ocena!$M$88,Ocena!$M$99,Ocena!$M$110,Ocena!$M$121,Ocena!$M$132,Ocena!$M$143,Ocena!$M$154,Ocena!$M$165,Ocena!$M$176,Ocena!$M$187,Ocena!$M$198,Ocena!$M$209,Ocena!$M$220,Ocena!$M$231,Ocena!$M$242,Ocena!$M$253,Ocena!$M$264,Ocena!$M$275,Ocena!$M$286,Ocena!$M$297,Ocena!$M$308,Ocena!$M$319,Ocena!$M$330,Ocena!$M$341,Ocena!$M$352,Ocena!$M$372,Ocena!$M$373,Ocena!$M$385,Ocena!$M$396,Ocena!$M$407,Ocena!$M$418))</f>
        <v>1</v>
      </c>
      <c r="N9" s="9">
        <f>IF(E9=0,"",AVERAGE(Ocena!$M$11,Ocena!$M$22,Ocena!$M$33,Ocena!$M$44,Ocena!$M$55,Ocena!$M$66,Ocena!$M$77,Ocena!$M$88,Ocena!$M$99,Ocena!$M$110,Ocena!$M$121,Ocena!$M$132,Ocena!$M$143,Ocena!$M$154,Ocena!$M$165,Ocena!$M$176,Ocena!$M$187,Ocena!$M$198,Ocena!$M$209,Ocena!$M$220,Ocena!$M$231,Ocena!$M$242,Ocena!$M$253,Ocena!$M$264,Ocena!$M$275,Ocena!$M$286,Ocena!$M$297,Ocena!$M$308,Ocena!$M$319,Ocena!$M$330,Ocena!$M$341,Ocena!$M$352,Ocena!$M$372,Ocena!$M$373,Ocena!$M$385,Ocena!$M$396,Ocena!$M$407,Ocena!$M$418))</f>
        <v>1.368421052631579</v>
      </c>
      <c r="O9" s="9">
        <f>IF(E9=0,"",MEDIAN(Ocena!$N$11,Ocena!$N$22,Ocena!$N$33,Ocena!$N$44,Ocena!$N$55,Ocena!$N$66,Ocena!$N$77,Ocena!$N$88,Ocena!$N$99,Ocena!$N$110,Ocena!$N$121,Ocena!$N$132,Ocena!$N$143,Ocena!$N$154,Ocena!$N$165,Ocena!$N$176,Ocena!$N$187,Ocena!$N$198,Ocena!$N$209,Ocena!$N$220,Ocena!$N$231,Ocena!$N$242,Ocena!$N$253,Ocena!$N$264,Ocena!$N$275,Ocena!$N$286,Ocena!$N$297,Ocena!$N$308,Ocena!$N$319,Ocena!$N$330,Ocena!$N$341,Ocena!$N$352,Ocena!$N$372,Ocena!$N$373,Ocena!$N$385,Ocena!$N$396,Ocena!$N$407,Ocena!$N$418))</f>
        <v>2</v>
      </c>
      <c r="P9" s="9">
        <f>IF(E9=0,"",AVERAGE(Ocena!$N$11,Ocena!$N$22,Ocena!$N$33,Ocena!$N$44,Ocena!$N$55,Ocena!$N$66,Ocena!$N$77,Ocena!$N$88,Ocena!$N$99,Ocena!$N$110,Ocena!$N$121,Ocena!$N$132,Ocena!$N$143,Ocena!$N$154,Ocena!$N$165,Ocena!$N$176,Ocena!$N$187,Ocena!$N$198,Ocena!$N$209,Ocena!$N$220,Ocena!$N$231,Ocena!$N$242,Ocena!$N$253,Ocena!$N$264,Ocena!$N$275,Ocena!$N$286,Ocena!$N$297,Ocena!$N$308,Ocena!$N$319,Ocena!$N$330,Ocena!$N$341,Ocena!$N$352,Ocena!$N$372,Ocena!$N$373,Ocena!$N$385,Ocena!$N$396,Ocena!$N$407,Ocena!$N$418))</f>
        <v>1.631578947368421</v>
      </c>
      <c r="Q9" s="9">
        <f>IF(E9=0,"",MIN(Ocena!$O$11,Ocena!$O$22,Ocena!$O$33,Ocena!$O$44,Ocena!$O$55,Ocena!$O$66,Ocena!$O$77,Ocena!$O$88,Ocena!$O$99,Ocena!$O$110,Ocena!$O$121,Ocena!$O$132,Ocena!$O$143,Ocena!$O$154,Ocena!$O$165,Ocena!$O$176,Ocena!$O$187,Ocena!$O$198,Ocena!$O$209,Ocena!$O$220,Ocena!$O$231,Ocena!$O$242,Ocena!$O$253,Ocena!$O$264,Ocena!$O$275,Ocena!$O$286,Ocena!$O$297,Ocena!$O$308,Ocena!$O$319,Ocena!$O$330,Ocena!$O$341,Ocena!$O$352,Ocena!$O$372,Ocena!$O$373,Ocena!$O$385,Ocena!$O$396,Ocena!$O$407,Ocena!$O$418))</f>
        <v>0</v>
      </c>
      <c r="R9" s="9">
        <f>IF(E9=0,"",MAX(Ocena!$O$11,Ocena!$O$22,Ocena!$O$33,Ocena!$O$44,Ocena!$O$55,Ocena!$O$66,Ocena!$O$77,Ocena!$O$88,Ocena!$O$99,Ocena!$O$110,Ocena!$O$121,Ocena!$O$132,Ocena!$O$143,Ocena!$O$154,Ocena!$O$165,Ocena!$O$176,Ocena!$O$187,Ocena!$O$198,Ocena!$O$209,Ocena!$O$220,Ocena!$O$231,Ocena!$O$242,Ocena!$O$253,Ocena!$O$264,Ocena!$O$275,Ocena!$O$286,Ocena!$O$297,Ocena!$O$308,Ocena!$O$319,Ocena!$O$330,Ocena!$O$341,Ocena!$O$352,Ocena!$O$372,Ocena!$O$373,Ocena!$O$385,Ocena!$O$396,Ocena!$O$407,Ocena!$O$418))</f>
        <v>9</v>
      </c>
      <c r="S9" s="10">
        <f>IF(AND(COUNT(Ocena!$K$11:$N$11)=4,COUNTIF(Ocena!$K$11:$N$11,0)=4),1,0)+IF(AND(COUNT(Ocena!$K$22:$N$22)=4,COUNTIF(Ocena!$K$22:$N$22,0)=4),1,0)+IF(AND(COUNT(Ocena!$K$33:$N$33)=4,COUNTIF(Ocena!$K$33:$N$33,0)=4),1,0)+IF(AND(COUNT(Ocena!$K$44:$N$44)=4,COUNTIF(Ocena!$K$44:$N$44,0)=4),1,0)+IF(AND(COUNT(Ocena!$K$55:$N$55)=4,COUNTIF(Ocena!$K$55:$N$55,0)=4),1,0)+IF(AND(COUNT(Ocena!$K$66:$N$66)=4,COUNTIF(Ocena!$K$66:$N$66,0)=4),1,0)+IF(AND(COUNT(Ocena!$K$77:$N$77)=4,COUNTIF(Ocena!$K$77:$N$77,0)=4),1,0)+IF(AND(COUNT(Ocena!$K$88:$N$88)=4,COUNTIF(Ocena!$K$88:$N$88,0)=4),1,0)+IF(AND(COUNT(Ocena!$K$99:$N$99)=4,COUNTIF(Ocena!$K$99:$N$99,0)=4),1,0)+IF(AND(COUNT(Ocena!$K$110:$N$110)=4,COUNTIF(Ocena!$K$110:$N$110,0)=4),1,0)+IF(AND(COUNT(Ocena!$K$121:$N$121)=4,COUNTIF(Ocena!$K$121:$N$121,0)=4),1,0)+IF(AND(COUNT(Ocena!$K$132:$N$132)=4,COUNTIF(Ocena!$K$132:$N$132,0)=4),1,0)+IF(AND(COUNT(Ocena!$K$143:$N$143)=4,COUNTIF(Ocena!$K$143:$N$143,0)=4),1,0)+IF(AND(COUNT(Ocena!$K$154:$N$154)=4,COUNTIF(Ocena!$K$154:$N$154,0)=4),1,0)+IF(AND(COUNT(Ocena!$K$165:$N$165)=4,COUNTIF(Ocena!$K$165:$N$165,0)=4),1,0)+IF(AND(COUNT(Ocena!$K$176:$N$176)=4,COUNTIF(Ocena!$K$176:$N$176,0)=4),1,0)+IF(AND(COUNT(Ocena!$K$187:$N$187)=4,COUNTIF(Ocena!$K$187:$N$187,0)=4),1,0)+IF(AND(COUNT(Ocena!$K$198:$N$198)=4,COUNTIF(Ocena!$K$198:$N$198,0)=4),1,0)+IF(AND(COUNT(Ocena!$K$209:$N$209)=4,COUNTIF(Ocena!$K$209:$N$209,0)=4),1,0)+IF(AND(COUNT(Ocena!$K$220:$N$220)=4,COUNTIF(Ocena!$K$220:$N$220,0)=4),1,0)+IF(AND(COUNT(Ocena!$K$231:$N$231)=4,COUNTIF(Ocena!$K$231:$N$231,0)=4),1,0)+IF(AND(COUNT(Ocena!$K$242:$N$242)=4,COUNTIF(Ocena!$K$242:$N$242,0)=4),1,0)+IF(AND(COUNT(Ocena!$K$253:$N$253)=4,COUNTIF(Ocena!$K$253:$N$253,0)=4),1,0)+IF(AND(COUNT(Ocena!$K$264:$N$264)=4,COUNTIF(Ocena!$K$264:$N$264,0)=4),1,0)+IF(AND(COUNT(Ocena!$K$275:$N$275)=4,COUNTIF(Ocena!$K$275:$N$275,0)=4),1,0)+IF(AND(COUNT(Ocena!$K$286:$N$286)=4,COUNTIF(Ocena!$K$286:$N$286,0)=4),1,0)+IF(AND(COUNT(Ocena!$K$297:$N$297)=4,COUNTIF(Ocena!$K$297:$N$297,0)=4),1,0)+IF(AND(COUNT(Ocena!$K$308:$N$308)=4,COUNTIF(Ocena!$K$308:$N$308,0)=4),1,0)+IF(AND(COUNT(Ocena!$K$319:$N$319)=4,COUNTIF(Ocena!$K$319:$N$319,0)=4),1,0)+IF(AND(COUNT(Ocena!$K$330:$N$330)=4,COUNTIF(Ocena!$K$330:$N$330,0)=4),1,0)+IF(AND(COUNT(Ocena!$K$341:$N$341)=4,COUNTIF(Ocena!$K$341:$N$341,0)=4),1,0)+IF(AND(COUNT(Ocena!$K$352:$N$352)=4,COUNTIF(Ocena!$K$352:$N$352,0)=4),1,0)+IF(AND(COUNT(Ocena!$K$372:$N$372)=4,COUNTIF(Ocena!$K$372:$N$372,0)=4),1,0)+IF(AND(COUNT(Ocena!$K$373:$N$373)=4,COUNTIF(Ocena!$K$373:$N$373,0)=4),1,0)+IF(AND(COUNT(Ocena!$K$385:$N$385)=4,COUNTIF(Ocena!$K$385:$N$385,0)=4),1,0)+IF(AND(COUNT(Ocena!$K$396:$N$396)=4,COUNTIF(Ocena!$K$396:$N$396,0)=4),1,0)+IF(AND(COUNT(Ocena!$K$407:$N$407)=4,COUNTIF(Ocena!$K$407:$N$407,0)=4),1,0)+IF(AND(COUNT(Ocena!$K$418:$N$418)=4,COUNTIF(Ocena!$K$418:$N$418,0)=4),1,0)</f>
        <v>1</v>
      </c>
      <c r="T9" s="8">
        <f t="shared" si="1"/>
        <v>2.6315789473684209E-2</v>
      </c>
    </row>
    <row r="10" spans="1:20" ht="27.95" customHeight="1" x14ac:dyDescent="0.25">
      <c r="A10" s="2" t="s">
        <v>27</v>
      </c>
      <c r="B10" s="10">
        <v>1</v>
      </c>
      <c r="C10" s="10">
        <v>1</v>
      </c>
      <c r="D10" s="10">
        <v>38</v>
      </c>
      <c r="E10" s="10">
        <f>COUNT(Ocena!$O$3,Ocena!$O$14,Ocena!$O$25,Ocena!$O$36,Ocena!$O$47,Ocena!$O$58,Ocena!$O$69,Ocena!$O$80,Ocena!$O$91,Ocena!$O$102,Ocena!$O$113,Ocena!$O$124,Ocena!$O$135,Ocena!$O$146,Ocena!$O$157,Ocena!$O$168,Ocena!$O$179,Ocena!$O$190,Ocena!$O$201,Ocena!$O$212,Ocena!$O$223,Ocena!$O$234,Ocena!$O$245,Ocena!$O$256,Ocena!$O$267,Ocena!$O$278,Ocena!$O$289,Ocena!$O$300,Ocena!$O$311,Ocena!$O$322,Ocena!$O$333,Ocena!$O$344,Ocena!$O$356,Ocena!$O$357,Ocena!$O$377,Ocena!$O$388,Ocena!$O$399,Ocena!$O$410)</f>
        <v>38</v>
      </c>
      <c r="F10" s="8">
        <f t="shared" si="0"/>
        <v>1</v>
      </c>
      <c r="G10" s="9">
        <f>IF(E10=0,"",MEDIAN(Ocena!$O$3,Ocena!$O$14,Ocena!$O$25,Ocena!$O$36,Ocena!$O$47,Ocena!$O$58,Ocena!$O$69,Ocena!$O$80,Ocena!$O$91,Ocena!$O$102,Ocena!$O$113,Ocena!$O$124,Ocena!$O$135,Ocena!$O$146,Ocena!$O$157,Ocena!$O$168,Ocena!$O$179,Ocena!$O$190,Ocena!$O$201,Ocena!$O$212,Ocena!$O$223,Ocena!$O$234,Ocena!$O$245,Ocena!$O$256,Ocena!$O$267,Ocena!$O$278,Ocena!$O$289,Ocena!$O$300,Ocena!$O$311,Ocena!$O$322,Ocena!$O$333,Ocena!$O$344,Ocena!$O$356,Ocena!$O$357,Ocena!$O$377,Ocena!$O$388,Ocena!$O$399,Ocena!$O$410))</f>
        <v>8</v>
      </c>
      <c r="H10" s="9">
        <f>IF(E10=0,"",AVERAGE(Ocena!$O$3,Ocena!$O$14,Ocena!$O$25,Ocena!$O$36,Ocena!$O$47,Ocena!$O$58,Ocena!$O$69,Ocena!$O$80,Ocena!$O$91,Ocena!$O$102,Ocena!$O$113,Ocena!$O$124,Ocena!$O$135,Ocena!$O$146,Ocena!$O$157,Ocena!$O$168,Ocena!$O$179,Ocena!$O$190,Ocena!$O$201,Ocena!$O$212,Ocena!$O$223,Ocena!$O$234,Ocena!$O$245,Ocena!$O$256,Ocena!$O$267,Ocena!$O$278,Ocena!$O$289,Ocena!$O$300,Ocena!$O$311,Ocena!$O$322,Ocena!$O$333,Ocena!$O$344,Ocena!$O$356,Ocena!$O$357,Ocena!$O$377,Ocena!$O$388,Ocena!$O$399,Ocena!$O$410))</f>
        <v>8.473684210526315</v>
      </c>
      <c r="I10" s="9">
        <f>IF(E10=0,"",MEDIAN(Ocena!$K$3,Ocena!$K$14,Ocena!$K$25,Ocena!$K$36,Ocena!$K$47,Ocena!$K$58,Ocena!$K$69,Ocena!$K$80,Ocena!$K$91,Ocena!$K$102,Ocena!$K$113,Ocena!$K$124,Ocena!$K$135,Ocena!$K$146,Ocena!$K$157,Ocena!$K$168,Ocena!$K$179,Ocena!$K$190,Ocena!$K$201,Ocena!$K$212,Ocena!$K$223,Ocena!$K$234,Ocena!$K$245,Ocena!$K$256,Ocena!$K$267,Ocena!$K$278,Ocena!$K$289,Ocena!$K$300,Ocena!$K$311,Ocena!$K$322,Ocena!$K$333,Ocena!$K$344,Ocena!$K$356,Ocena!$K$357,Ocena!$K$377,Ocena!$K$388,Ocena!$K$399,Ocena!$K$410))</f>
        <v>2</v>
      </c>
      <c r="J10" s="9">
        <f>IF(E10=0,"",AVERAGE(Ocena!$K$3,Ocena!$K$14,Ocena!$K$25,Ocena!$K$36,Ocena!$K$47,Ocena!$K$58,Ocena!$K$69,Ocena!$K$80,Ocena!$K$91,Ocena!$K$102,Ocena!$K$113,Ocena!$K$124,Ocena!$K$135,Ocena!$K$146,Ocena!$K$157,Ocena!$K$168,Ocena!$K$179,Ocena!$K$190,Ocena!$K$201,Ocena!$K$212,Ocena!$K$223,Ocena!$K$234,Ocena!$K$245,Ocena!$K$256,Ocena!$K$267,Ocena!$K$278,Ocena!$K$289,Ocena!$K$300,Ocena!$K$311,Ocena!$K$322,Ocena!$K$333,Ocena!$K$344,Ocena!$K$356,Ocena!$K$357,Ocena!$K$377,Ocena!$K$388,Ocena!$K$399,Ocena!$K$410))</f>
        <v>2.3421052631578947</v>
      </c>
      <c r="K10" s="9">
        <f>IF(E10=0,"",MEDIAN(Ocena!$L$3,Ocena!$L$14,Ocena!$L$25,Ocena!$L$36,Ocena!$L$47,Ocena!$L$58,Ocena!$L$69,Ocena!$L$80,Ocena!$L$91,Ocena!$L$102,Ocena!$L$113,Ocena!$L$124,Ocena!$L$135,Ocena!$L$146,Ocena!$L$157,Ocena!$L$168,Ocena!$L$179,Ocena!$L$190,Ocena!$L$201,Ocena!$L$212,Ocena!$L$223,Ocena!$L$234,Ocena!$L$245,Ocena!$L$256,Ocena!$L$267,Ocena!$L$278,Ocena!$L$289,Ocena!$L$300,Ocena!$L$311,Ocena!$L$322,Ocena!$L$333,Ocena!$L$344,Ocena!$L$356,Ocena!$L$357,Ocena!$L$377,Ocena!$L$388,Ocena!$L$399,Ocena!$L$410))</f>
        <v>2</v>
      </c>
      <c r="L10" s="9">
        <f>IF(E10=0,"",AVERAGE(Ocena!$L$3,Ocena!$L$14,Ocena!$L$25,Ocena!$L$36,Ocena!$L$47,Ocena!$L$58,Ocena!$L$69,Ocena!$L$80,Ocena!$L$91,Ocena!$L$102,Ocena!$L$113,Ocena!$L$124,Ocena!$L$135,Ocena!$L$146,Ocena!$L$157,Ocena!$L$168,Ocena!$L$179,Ocena!$L$190,Ocena!$L$201,Ocena!$L$212,Ocena!$L$223,Ocena!$L$234,Ocena!$L$245,Ocena!$L$256,Ocena!$L$267,Ocena!$L$278,Ocena!$L$289,Ocena!$L$300,Ocena!$L$311,Ocena!$L$322,Ocena!$L$333,Ocena!$L$344,Ocena!$L$356,Ocena!$L$357,Ocena!$L$377,Ocena!$L$388,Ocena!$L$399,Ocena!$L$410))</f>
        <v>1.8947368421052631</v>
      </c>
      <c r="M10" s="9">
        <f>IF(E10=0,"",MEDIAN(Ocena!$M$3,Ocena!$M$14,Ocena!$M$25,Ocena!$M$36,Ocena!$M$47,Ocena!$M$58,Ocena!$M$69,Ocena!$M$80,Ocena!$M$91,Ocena!$M$102,Ocena!$M$113,Ocena!$M$124,Ocena!$M$135,Ocena!$M$146,Ocena!$M$157,Ocena!$M$168,Ocena!$M$179,Ocena!$M$190,Ocena!$M$201,Ocena!$M$212,Ocena!$M$223,Ocena!$M$234,Ocena!$M$245,Ocena!$M$256,Ocena!$M$267,Ocena!$M$278,Ocena!$M$289,Ocena!$M$300,Ocena!$M$311,Ocena!$M$322,Ocena!$M$333,Ocena!$M$344,Ocena!$M$356,Ocena!$M$357,Ocena!$M$377,Ocena!$M$388,Ocena!$M$399,Ocena!$M$410))</f>
        <v>2</v>
      </c>
      <c r="N10" s="9">
        <f>IF(E10=0,"",AVERAGE(Ocena!$M$3,Ocena!$M$14,Ocena!$M$25,Ocena!$M$36,Ocena!$M$47,Ocena!$M$58,Ocena!$M$69,Ocena!$M$80,Ocena!$M$91,Ocena!$M$102,Ocena!$M$113,Ocena!$M$124,Ocena!$M$135,Ocena!$M$146,Ocena!$M$157,Ocena!$M$168,Ocena!$M$179,Ocena!$M$190,Ocena!$M$201,Ocena!$M$212,Ocena!$M$223,Ocena!$M$234,Ocena!$M$245,Ocena!$M$256,Ocena!$M$267,Ocena!$M$278,Ocena!$M$289,Ocena!$M$300,Ocena!$M$311,Ocena!$M$322,Ocena!$M$333,Ocena!$M$344,Ocena!$M$356,Ocena!$M$357,Ocena!$M$377,Ocena!$M$388,Ocena!$M$399,Ocena!$M$410))</f>
        <v>2.1842105263157894</v>
      </c>
      <c r="O10" s="9">
        <f>IF(E10=0,"",MEDIAN(Ocena!$N$3,Ocena!$N$14,Ocena!$N$25,Ocena!$N$36,Ocena!$N$47,Ocena!$N$58,Ocena!$N$69,Ocena!$N$80,Ocena!$N$91,Ocena!$N$102,Ocena!$N$113,Ocena!$N$124,Ocena!$N$135,Ocena!$N$146,Ocena!$N$157,Ocena!$N$168,Ocena!$N$179,Ocena!$N$190,Ocena!$N$201,Ocena!$N$212,Ocena!$N$223,Ocena!$N$234,Ocena!$N$245,Ocena!$N$256,Ocena!$N$267,Ocena!$N$278,Ocena!$N$289,Ocena!$N$300,Ocena!$N$311,Ocena!$N$322,Ocena!$N$333,Ocena!$N$344,Ocena!$N$356,Ocena!$N$357,Ocena!$N$377,Ocena!$N$388,Ocena!$N$399,Ocena!$N$410))</f>
        <v>2</v>
      </c>
      <c r="P10" s="9">
        <f>IF(E10=0,"",AVERAGE(Ocena!$N$3,Ocena!$N$14,Ocena!$N$25,Ocena!$N$36,Ocena!$N$47,Ocena!$N$58,Ocena!$N$69,Ocena!$N$80,Ocena!$N$91,Ocena!$N$102,Ocena!$N$113,Ocena!$N$124,Ocena!$N$135,Ocena!$N$146,Ocena!$N$157,Ocena!$N$168,Ocena!$N$179,Ocena!$N$190,Ocena!$N$201,Ocena!$N$212,Ocena!$N$223,Ocena!$N$234,Ocena!$N$245,Ocena!$N$256,Ocena!$N$267,Ocena!$N$278,Ocena!$N$289,Ocena!$N$300,Ocena!$N$311,Ocena!$N$322,Ocena!$N$333,Ocena!$N$344,Ocena!$N$356,Ocena!$N$357,Ocena!$N$377,Ocena!$N$388,Ocena!$N$399,Ocena!$N$410))</f>
        <v>2.0526315789473686</v>
      </c>
      <c r="Q10" s="9">
        <f>IF(E10=0,"",MIN(Ocena!$O$3,Ocena!$O$14,Ocena!$O$25,Ocena!$O$36,Ocena!$O$47,Ocena!$O$58,Ocena!$O$69,Ocena!$O$80,Ocena!$O$91,Ocena!$O$102,Ocena!$O$113,Ocena!$O$124,Ocena!$O$135,Ocena!$O$146,Ocena!$O$157,Ocena!$O$168,Ocena!$O$179,Ocena!$O$190,Ocena!$O$201,Ocena!$O$212,Ocena!$O$223,Ocena!$O$234,Ocena!$O$245,Ocena!$O$256,Ocena!$O$267,Ocena!$O$278,Ocena!$O$289,Ocena!$O$300,Ocena!$O$311,Ocena!$O$322,Ocena!$O$333,Ocena!$O$344,Ocena!$O$356,Ocena!$O$357,Ocena!$O$377,Ocena!$O$388,Ocena!$O$399,Ocena!$O$410))</f>
        <v>4</v>
      </c>
      <c r="R10" s="9">
        <f>IF(E10=0,"",MAX(Ocena!$O$3,Ocena!$O$14,Ocena!$O$25,Ocena!$O$36,Ocena!$O$47,Ocena!$O$58,Ocena!$O$69,Ocena!$O$80,Ocena!$O$91,Ocena!$O$102,Ocena!$O$113,Ocena!$O$124,Ocena!$O$135,Ocena!$O$146,Ocena!$O$157,Ocena!$O$168,Ocena!$O$179,Ocena!$O$190,Ocena!$O$201,Ocena!$O$212,Ocena!$O$223,Ocena!$O$234,Ocena!$O$245,Ocena!$O$256,Ocena!$O$267,Ocena!$O$278,Ocena!$O$289,Ocena!$O$300,Ocena!$O$311,Ocena!$O$322,Ocena!$O$333,Ocena!$O$344,Ocena!$O$356,Ocena!$O$357,Ocena!$O$377,Ocena!$O$388,Ocena!$O$399,Ocena!$O$410))</f>
        <v>12</v>
      </c>
      <c r="S10" s="10">
        <f>IF(AND(COUNT(Ocena!$K$3:$N$3)=4,COUNTIF(Ocena!$K$3:$N$3,0)=4),1,0)+IF(AND(COUNT(Ocena!$K$14:$N$14)=4,COUNTIF(Ocena!$K$14:$N$14,0)=4),1,0)+IF(AND(COUNT(Ocena!$K$25:$N$25)=4,COUNTIF(Ocena!$K$25:$N$25,0)=4),1,0)+IF(AND(COUNT(Ocena!$K$36:$N$36)=4,COUNTIF(Ocena!$K$36:$N$36,0)=4),1,0)+IF(AND(COUNT(Ocena!$K$47:$N$47)=4,COUNTIF(Ocena!$K$47:$N$47,0)=4),1,0)+IF(AND(COUNT(Ocena!$K$58:$N$58)=4,COUNTIF(Ocena!$K$58:$N$58,0)=4),1,0)+IF(AND(COUNT(Ocena!$K$69:$N$69)=4,COUNTIF(Ocena!$K$69:$N$69,0)=4),1,0)+IF(AND(COUNT(Ocena!$K$80:$N$80)=4,COUNTIF(Ocena!$K$80:$N$80,0)=4),1,0)+IF(AND(COUNT(Ocena!$K$91:$N$91)=4,COUNTIF(Ocena!$K$91:$N$91,0)=4),1,0)+IF(AND(COUNT(Ocena!$K$102:$N$102)=4,COUNTIF(Ocena!$K$102:$N$102,0)=4),1,0)+IF(AND(COUNT(Ocena!$K$113:$N$113)=4,COUNTIF(Ocena!$K$113:$N$113,0)=4),1,0)+IF(AND(COUNT(Ocena!$K$124:$N$124)=4,COUNTIF(Ocena!$K$124:$N$124,0)=4),1,0)+IF(AND(COUNT(Ocena!$K$135:$N$135)=4,COUNTIF(Ocena!$K$135:$N$135,0)=4),1,0)+IF(AND(COUNT(Ocena!$K$146:$N$146)=4,COUNTIF(Ocena!$K$146:$N$146,0)=4),1,0)+IF(AND(COUNT(Ocena!$K$157:$N$157)=4,COUNTIF(Ocena!$K$157:$N$157,0)=4),1,0)+IF(AND(COUNT(Ocena!$K$168:$N$168)=4,COUNTIF(Ocena!$K$168:$N$168,0)=4),1,0)+IF(AND(COUNT(Ocena!$K$179:$N$179)=4,COUNTIF(Ocena!$K$179:$N$179,0)=4),1,0)+IF(AND(COUNT(Ocena!$K$190:$N$190)=4,COUNTIF(Ocena!$K$190:$N$190,0)=4),1,0)+IF(AND(COUNT(Ocena!$K$201:$N$201)=4,COUNTIF(Ocena!$K$201:$N$201,0)=4),1,0)+IF(AND(COUNT(Ocena!$K$212:$N$212)=4,COUNTIF(Ocena!$K$212:$N$212,0)=4),1,0)+IF(AND(COUNT(Ocena!$K$223:$N$223)=4,COUNTIF(Ocena!$K$223:$N$223,0)=4),1,0)+IF(AND(COUNT(Ocena!$K$234:$N$234)=4,COUNTIF(Ocena!$K$234:$N$234,0)=4),1,0)+IF(AND(COUNT(Ocena!$K$245:$N$245)=4,COUNTIF(Ocena!$K$245:$N$245,0)=4),1,0)+IF(AND(COUNT(Ocena!$K$256:$N$256)=4,COUNTIF(Ocena!$K$256:$N$256,0)=4),1,0)+IF(AND(COUNT(Ocena!$K$267:$N$267)=4,COUNTIF(Ocena!$K$267:$N$267,0)=4),1,0)+IF(AND(COUNT(Ocena!$K$278:$N$278)=4,COUNTIF(Ocena!$K$278:$N$278,0)=4),1,0)+IF(AND(COUNT(Ocena!$K$289:$N$289)=4,COUNTIF(Ocena!$K$289:$N$289,0)=4),1,0)+IF(AND(COUNT(Ocena!$K$300:$N$300)=4,COUNTIF(Ocena!$K$300:$N$300,0)=4),1,0)+IF(AND(COUNT(Ocena!$K$311:$N$311)=4,COUNTIF(Ocena!$K$311:$N$311,0)=4),1,0)+IF(AND(COUNT(Ocena!$K$322:$N$322)=4,COUNTIF(Ocena!$K$322:$N$322,0)=4),1,0)+IF(AND(COUNT(Ocena!$K$333:$N$333)=4,COUNTIF(Ocena!$K$333:$N$333,0)=4),1,0)+IF(AND(COUNT(Ocena!$K$344:$N$344)=4,COUNTIF(Ocena!$K$344:$N$344,0)=4),1,0)+IF(AND(COUNT(Ocena!$K$356:$N$356)=4,COUNTIF(Ocena!$K$356:$N$356,0)=4),1,0)+IF(AND(COUNT(Ocena!$K$357:$N$357)=4,COUNTIF(Ocena!$K$357:$N$357,0)=4),1,0)+IF(AND(COUNT(Ocena!$K$377:$N$377)=4,COUNTIF(Ocena!$K$377:$N$377,0)=4),1,0)+IF(AND(COUNT(Ocena!$K$388:$N$388)=4,COUNTIF(Ocena!$K$388:$N$388,0)=4),1,0)+IF(AND(COUNT(Ocena!$K$399:$N$399)=4,COUNTIF(Ocena!$K$399:$N$399,0)=4),1,0)+IF(AND(COUNT(Ocena!$K$410:$N$410)=4,COUNTIF(Ocena!$K$410:$N$410,0)=4),1,0)</f>
        <v>0</v>
      </c>
      <c r="T10" s="8">
        <f t="shared" si="1"/>
        <v>0</v>
      </c>
    </row>
    <row r="11" spans="1:20" ht="27.95" customHeight="1" x14ac:dyDescent="0.25">
      <c r="A11" s="2" t="s">
        <v>27</v>
      </c>
      <c r="B11" s="10">
        <v>2</v>
      </c>
      <c r="C11" s="10">
        <v>2</v>
      </c>
      <c r="D11" s="10">
        <v>38</v>
      </c>
      <c r="E11" s="10">
        <f>COUNT(Ocena!$O$6,Ocena!$O$17,Ocena!$O$28,Ocena!$O$39,Ocena!$O$50,Ocena!$O$61,Ocena!$O$72,Ocena!$O$83,Ocena!$O$94,Ocena!$O$105,Ocena!$O$116,Ocena!$O$127,Ocena!$O$138,Ocena!$O$149,Ocena!$O$160,Ocena!$O$171,Ocena!$O$182,Ocena!$O$193,Ocena!$O$204,Ocena!$O$215,Ocena!$O$226,Ocena!$O$237,Ocena!$O$248,Ocena!$O$259,Ocena!$O$270,Ocena!$O$281,Ocena!$O$292,Ocena!$O$303,Ocena!$O$314,Ocena!$O$325,Ocena!$O$336,Ocena!$O$347,Ocena!$O$362,Ocena!$O$363,Ocena!$O$380,Ocena!$O$391,Ocena!$O$402,Ocena!$O$413)</f>
        <v>38</v>
      </c>
      <c r="F11" s="8">
        <f t="shared" si="0"/>
        <v>1</v>
      </c>
      <c r="G11" s="9">
        <f>IF(E11=0,"",MEDIAN(Ocena!$O$6,Ocena!$O$17,Ocena!$O$28,Ocena!$O$39,Ocena!$O$50,Ocena!$O$61,Ocena!$O$72,Ocena!$O$83,Ocena!$O$94,Ocena!$O$105,Ocena!$O$116,Ocena!$O$127,Ocena!$O$138,Ocena!$O$149,Ocena!$O$160,Ocena!$O$171,Ocena!$O$182,Ocena!$O$193,Ocena!$O$204,Ocena!$O$215,Ocena!$O$226,Ocena!$O$237,Ocena!$O$248,Ocena!$O$259,Ocena!$O$270,Ocena!$O$281,Ocena!$O$292,Ocena!$O$303,Ocena!$O$314,Ocena!$O$325,Ocena!$O$336,Ocena!$O$347,Ocena!$O$362,Ocena!$O$363,Ocena!$O$380,Ocena!$O$391,Ocena!$O$402,Ocena!$O$413))</f>
        <v>8</v>
      </c>
      <c r="H11" s="9">
        <f>IF(E11=0,"",AVERAGE(Ocena!$O$6,Ocena!$O$17,Ocena!$O$28,Ocena!$O$39,Ocena!$O$50,Ocena!$O$61,Ocena!$O$72,Ocena!$O$83,Ocena!$O$94,Ocena!$O$105,Ocena!$O$116,Ocena!$O$127,Ocena!$O$138,Ocena!$O$149,Ocena!$O$160,Ocena!$O$171,Ocena!$O$182,Ocena!$O$193,Ocena!$O$204,Ocena!$O$215,Ocena!$O$226,Ocena!$O$237,Ocena!$O$248,Ocena!$O$259,Ocena!$O$270,Ocena!$O$281,Ocena!$O$292,Ocena!$O$303,Ocena!$O$314,Ocena!$O$325,Ocena!$O$336,Ocena!$O$347,Ocena!$O$362,Ocena!$O$363,Ocena!$O$380,Ocena!$O$391,Ocena!$O$402,Ocena!$O$413))</f>
        <v>8.0526315789473681</v>
      </c>
      <c r="I11" s="9">
        <f>IF(E11=0,"",MEDIAN(Ocena!$K$6,Ocena!$K$17,Ocena!$K$28,Ocena!$K$39,Ocena!$K$50,Ocena!$K$61,Ocena!$K$72,Ocena!$K$83,Ocena!$K$94,Ocena!$K$105,Ocena!$K$116,Ocena!$K$127,Ocena!$K$138,Ocena!$K$149,Ocena!$K$160,Ocena!$K$171,Ocena!$K$182,Ocena!$K$193,Ocena!$K$204,Ocena!$K$215,Ocena!$K$226,Ocena!$K$237,Ocena!$K$248,Ocena!$K$259,Ocena!$K$270,Ocena!$K$281,Ocena!$K$292,Ocena!$K$303,Ocena!$K$314,Ocena!$K$325,Ocena!$K$336,Ocena!$K$347,Ocena!$K$362,Ocena!$K$363,Ocena!$K$380,Ocena!$K$391,Ocena!$K$402,Ocena!$K$413))</f>
        <v>2</v>
      </c>
      <c r="J11" s="9">
        <f>IF(E11=0,"",AVERAGE(Ocena!$K$6,Ocena!$K$17,Ocena!$K$28,Ocena!$K$39,Ocena!$K$50,Ocena!$K$61,Ocena!$K$72,Ocena!$K$83,Ocena!$K$94,Ocena!$K$105,Ocena!$K$116,Ocena!$K$127,Ocena!$K$138,Ocena!$K$149,Ocena!$K$160,Ocena!$K$171,Ocena!$K$182,Ocena!$K$193,Ocena!$K$204,Ocena!$K$215,Ocena!$K$226,Ocena!$K$237,Ocena!$K$248,Ocena!$K$259,Ocena!$K$270,Ocena!$K$281,Ocena!$K$292,Ocena!$K$303,Ocena!$K$314,Ocena!$K$325,Ocena!$K$336,Ocena!$K$347,Ocena!$K$362,Ocena!$K$363,Ocena!$K$380,Ocena!$K$391,Ocena!$K$402,Ocena!$K$413))</f>
        <v>2.4210526315789473</v>
      </c>
      <c r="K11" s="9">
        <f>IF(E11=0,"",MEDIAN(Ocena!$L$6,Ocena!$L$17,Ocena!$L$28,Ocena!$L$39,Ocena!$L$50,Ocena!$L$61,Ocena!$L$72,Ocena!$L$83,Ocena!$L$94,Ocena!$L$105,Ocena!$L$116,Ocena!$L$127,Ocena!$L$138,Ocena!$L$149,Ocena!$L$160,Ocena!$L$171,Ocena!$L$182,Ocena!$L$193,Ocena!$L$204,Ocena!$L$215,Ocena!$L$226,Ocena!$L$237,Ocena!$L$248,Ocena!$L$259,Ocena!$L$270,Ocena!$L$281,Ocena!$L$292,Ocena!$L$303,Ocena!$L$314,Ocena!$L$325,Ocena!$L$336,Ocena!$L$347,Ocena!$L$362,Ocena!$L$363,Ocena!$L$380,Ocena!$L$391,Ocena!$L$402,Ocena!$L$413))</f>
        <v>2</v>
      </c>
      <c r="L11" s="9">
        <f>IF(E11=0,"",AVERAGE(Ocena!$L$6,Ocena!$L$17,Ocena!$L$28,Ocena!$L$39,Ocena!$L$50,Ocena!$L$61,Ocena!$L$72,Ocena!$L$83,Ocena!$L$94,Ocena!$L$105,Ocena!$L$116,Ocena!$L$127,Ocena!$L$138,Ocena!$L$149,Ocena!$L$160,Ocena!$L$171,Ocena!$L$182,Ocena!$L$193,Ocena!$L$204,Ocena!$L$215,Ocena!$L$226,Ocena!$L$237,Ocena!$L$248,Ocena!$L$259,Ocena!$L$270,Ocena!$L$281,Ocena!$L$292,Ocena!$L$303,Ocena!$L$314,Ocena!$L$325,Ocena!$L$336,Ocena!$L$347,Ocena!$L$362,Ocena!$L$363,Ocena!$L$380,Ocena!$L$391,Ocena!$L$402,Ocena!$L$413))</f>
        <v>1.7105263157894737</v>
      </c>
      <c r="M11" s="9">
        <f>IF(E11=0,"",MEDIAN(Ocena!$M$6,Ocena!$M$17,Ocena!$M$28,Ocena!$M$39,Ocena!$M$50,Ocena!$M$61,Ocena!$M$72,Ocena!$M$83,Ocena!$M$94,Ocena!$M$105,Ocena!$M$116,Ocena!$M$127,Ocena!$M$138,Ocena!$M$149,Ocena!$M$160,Ocena!$M$171,Ocena!$M$182,Ocena!$M$193,Ocena!$M$204,Ocena!$M$215,Ocena!$M$226,Ocena!$M$237,Ocena!$M$248,Ocena!$M$259,Ocena!$M$270,Ocena!$M$281,Ocena!$M$292,Ocena!$M$303,Ocena!$M$314,Ocena!$M$325,Ocena!$M$336,Ocena!$M$347,Ocena!$M$362,Ocena!$M$363,Ocena!$M$380,Ocena!$M$391,Ocena!$M$402,Ocena!$M$413))</f>
        <v>2</v>
      </c>
      <c r="N11" s="9">
        <f>IF(E11=0,"",AVERAGE(Ocena!$M$6,Ocena!$M$17,Ocena!$M$28,Ocena!$M$39,Ocena!$M$50,Ocena!$M$61,Ocena!$M$72,Ocena!$M$83,Ocena!$M$94,Ocena!$M$105,Ocena!$M$116,Ocena!$M$127,Ocena!$M$138,Ocena!$M$149,Ocena!$M$160,Ocena!$M$171,Ocena!$M$182,Ocena!$M$193,Ocena!$M$204,Ocena!$M$215,Ocena!$M$226,Ocena!$M$237,Ocena!$M$248,Ocena!$M$259,Ocena!$M$270,Ocena!$M$281,Ocena!$M$292,Ocena!$M$303,Ocena!$M$314,Ocena!$M$325,Ocena!$M$336,Ocena!$M$347,Ocena!$M$362,Ocena!$M$363,Ocena!$M$380,Ocena!$M$391,Ocena!$M$402,Ocena!$M$413))</f>
        <v>1.8947368421052631</v>
      </c>
      <c r="O11" s="9">
        <f>IF(E11=0,"",MEDIAN(Ocena!$N$6,Ocena!$N$17,Ocena!$N$28,Ocena!$N$39,Ocena!$N$50,Ocena!$N$61,Ocena!$N$72,Ocena!$N$83,Ocena!$N$94,Ocena!$N$105,Ocena!$N$116,Ocena!$N$127,Ocena!$N$138,Ocena!$N$149,Ocena!$N$160,Ocena!$N$171,Ocena!$N$182,Ocena!$N$193,Ocena!$N$204,Ocena!$N$215,Ocena!$N$226,Ocena!$N$237,Ocena!$N$248,Ocena!$N$259,Ocena!$N$270,Ocena!$N$281,Ocena!$N$292,Ocena!$N$303,Ocena!$N$314,Ocena!$N$325,Ocena!$N$336,Ocena!$N$347,Ocena!$N$362,Ocena!$N$363,Ocena!$N$380,Ocena!$N$391,Ocena!$N$402,Ocena!$N$413))</f>
        <v>2</v>
      </c>
      <c r="P11" s="9">
        <f>IF(E11=0,"",AVERAGE(Ocena!$N$6,Ocena!$N$17,Ocena!$N$28,Ocena!$N$39,Ocena!$N$50,Ocena!$N$61,Ocena!$N$72,Ocena!$N$83,Ocena!$N$94,Ocena!$N$105,Ocena!$N$116,Ocena!$N$127,Ocena!$N$138,Ocena!$N$149,Ocena!$N$160,Ocena!$N$171,Ocena!$N$182,Ocena!$N$193,Ocena!$N$204,Ocena!$N$215,Ocena!$N$226,Ocena!$N$237,Ocena!$N$248,Ocena!$N$259,Ocena!$N$270,Ocena!$N$281,Ocena!$N$292,Ocena!$N$303,Ocena!$N$314,Ocena!$N$325,Ocena!$N$336,Ocena!$N$347,Ocena!$N$362,Ocena!$N$363,Ocena!$N$380,Ocena!$N$391,Ocena!$N$402,Ocena!$N$413))</f>
        <v>2.0263157894736841</v>
      </c>
      <c r="Q11" s="9">
        <f>IF(E11=0,"",MIN(Ocena!$O$6,Ocena!$O$17,Ocena!$O$28,Ocena!$O$39,Ocena!$O$50,Ocena!$O$61,Ocena!$O$72,Ocena!$O$83,Ocena!$O$94,Ocena!$O$105,Ocena!$O$116,Ocena!$O$127,Ocena!$O$138,Ocena!$O$149,Ocena!$O$160,Ocena!$O$171,Ocena!$O$182,Ocena!$O$193,Ocena!$O$204,Ocena!$O$215,Ocena!$O$226,Ocena!$O$237,Ocena!$O$248,Ocena!$O$259,Ocena!$O$270,Ocena!$O$281,Ocena!$O$292,Ocena!$O$303,Ocena!$O$314,Ocena!$O$325,Ocena!$O$336,Ocena!$O$347,Ocena!$O$362,Ocena!$O$363,Ocena!$O$380,Ocena!$O$391,Ocena!$O$402,Ocena!$O$413))</f>
        <v>5</v>
      </c>
      <c r="R11" s="9">
        <f>IF(E11=0,"",MAX(Ocena!$O$6,Ocena!$O$17,Ocena!$O$28,Ocena!$O$39,Ocena!$O$50,Ocena!$O$61,Ocena!$O$72,Ocena!$O$83,Ocena!$O$94,Ocena!$O$105,Ocena!$O$116,Ocena!$O$127,Ocena!$O$138,Ocena!$O$149,Ocena!$O$160,Ocena!$O$171,Ocena!$O$182,Ocena!$O$193,Ocena!$O$204,Ocena!$O$215,Ocena!$O$226,Ocena!$O$237,Ocena!$O$248,Ocena!$O$259,Ocena!$O$270,Ocena!$O$281,Ocena!$O$292,Ocena!$O$303,Ocena!$O$314,Ocena!$O$325,Ocena!$O$336,Ocena!$O$347,Ocena!$O$362,Ocena!$O$363,Ocena!$O$380,Ocena!$O$391,Ocena!$O$402,Ocena!$O$413))</f>
        <v>11</v>
      </c>
      <c r="S11" s="10">
        <f>IF(AND(COUNT(Ocena!$K$6:$N$6)=4,COUNTIF(Ocena!$K$6:$N$6,0)=4),1,0)+IF(AND(COUNT(Ocena!$K$17:$N$17)=4,COUNTIF(Ocena!$K$17:$N$17,0)=4),1,0)+IF(AND(COUNT(Ocena!$K$28:$N$28)=4,COUNTIF(Ocena!$K$28:$N$28,0)=4),1,0)+IF(AND(COUNT(Ocena!$K$39:$N$39)=4,COUNTIF(Ocena!$K$39:$N$39,0)=4),1,0)+IF(AND(COUNT(Ocena!$K$50:$N$50)=4,COUNTIF(Ocena!$K$50:$N$50,0)=4),1,0)+IF(AND(COUNT(Ocena!$K$61:$N$61)=4,COUNTIF(Ocena!$K$61:$N$61,0)=4),1,0)+IF(AND(COUNT(Ocena!$K$72:$N$72)=4,COUNTIF(Ocena!$K$72:$N$72,0)=4),1,0)+IF(AND(COUNT(Ocena!$K$83:$N$83)=4,COUNTIF(Ocena!$K$83:$N$83,0)=4),1,0)+IF(AND(COUNT(Ocena!$K$94:$N$94)=4,COUNTIF(Ocena!$K$94:$N$94,0)=4),1,0)+IF(AND(COUNT(Ocena!$K$105:$N$105)=4,COUNTIF(Ocena!$K$105:$N$105,0)=4),1,0)+IF(AND(COUNT(Ocena!$K$116:$N$116)=4,COUNTIF(Ocena!$K$116:$N$116,0)=4),1,0)+IF(AND(COUNT(Ocena!$K$127:$N$127)=4,COUNTIF(Ocena!$K$127:$N$127,0)=4),1,0)+IF(AND(COUNT(Ocena!$K$138:$N$138)=4,COUNTIF(Ocena!$K$138:$N$138,0)=4),1,0)+IF(AND(COUNT(Ocena!$K$149:$N$149)=4,COUNTIF(Ocena!$K$149:$N$149,0)=4),1,0)+IF(AND(COUNT(Ocena!$K$160:$N$160)=4,COUNTIF(Ocena!$K$160:$N$160,0)=4),1,0)+IF(AND(COUNT(Ocena!$K$171:$N$171)=4,COUNTIF(Ocena!$K$171:$N$171,0)=4),1,0)+IF(AND(COUNT(Ocena!$K$182:$N$182)=4,COUNTIF(Ocena!$K$182:$N$182,0)=4),1,0)+IF(AND(COUNT(Ocena!$K$193:$N$193)=4,COUNTIF(Ocena!$K$193:$N$193,0)=4),1,0)+IF(AND(COUNT(Ocena!$K$204:$N$204)=4,COUNTIF(Ocena!$K$204:$N$204,0)=4),1,0)+IF(AND(COUNT(Ocena!$K$215:$N$215)=4,COUNTIF(Ocena!$K$215:$N$215,0)=4),1,0)+IF(AND(COUNT(Ocena!$K$226:$N$226)=4,COUNTIF(Ocena!$K$226:$N$226,0)=4),1,0)+IF(AND(COUNT(Ocena!$K$237:$N$237)=4,COUNTIF(Ocena!$K$237:$N$237,0)=4),1,0)+IF(AND(COUNT(Ocena!$K$248:$N$248)=4,COUNTIF(Ocena!$K$248:$N$248,0)=4),1,0)+IF(AND(COUNT(Ocena!$K$259:$N$259)=4,COUNTIF(Ocena!$K$259:$N$259,0)=4),1,0)+IF(AND(COUNT(Ocena!$K$270:$N$270)=4,COUNTIF(Ocena!$K$270:$N$270,0)=4),1,0)+IF(AND(COUNT(Ocena!$K$281:$N$281)=4,COUNTIF(Ocena!$K$281:$N$281,0)=4),1,0)+IF(AND(COUNT(Ocena!$K$292:$N$292)=4,COUNTIF(Ocena!$K$292:$N$292,0)=4),1,0)+IF(AND(COUNT(Ocena!$K$303:$N$303)=4,COUNTIF(Ocena!$K$303:$N$303,0)=4),1,0)+IF(AND(COUNT(Ocena!$K$314:$N$314)=4,COUNTIF(Ocena!$K$314:$N$314,0)=4),1,0)+IF(AND(COUNT(Ocena!$K$325:$N$325)=4,COUNTIF(Ocena!$K$325:$N$325,0)=4),1,0)+IF(AND(COUNT(Ocena!$K$336:$N$336)=4,COUNTIF(Ocena!$K$336:$N$336,0)=4),1,0)+IF(AND(COUNT(Ocena!$K$347:$N$347)=4,COUNTIF(Ocena!$K$347:$N$347,0)=4),1,0)+IF(AND(COUNT(Ocena!$K$362:$N$362)=4,COUNTIF(Ocena!$K$362:$N$362,0)=4),1,0)+IF(AND(COUNT(Ocena!$K$363:$N$363)=4,COUNTIF(Ocena!$K$363:$N$363,0)=4),1,0)+IF(AND(COUNT(Ocena!$K$380:$N$380)=4,COUNTIF(Ocena!$K$380:$N$380,0)=4),1,0)+IF(AND(COUNT(Ocena!$K$391:$N$391)=4,COUNTIF(Ocena!$K$391:$N$391,0)=4),1,0)+IF(AND(COUNT(Ocena!$K$402:$N$402)=4,COUNTIF(Ocena!$K$402:$N$402,0)=4),1,0)+IF(AND(COUNT(Ocena!$K$413:$N$413)=4,COUNTIF(Ocena!$K$413:$N$413,0)=4),1,0)</f>
        <v>0</v>
      </c>
      <c r="T11" s="8">
        <f t="shared" si="1"/>
        <v>0</v>
      </c>
    </row>
    <row r="12" spans="1:20" ht="27.95" customHeight="1" x14ac:dyDescent="0.25">
      <c r="A12" s="2" t="s">
        <v>27</v>
      </c>
      <c r="B12" s="10">
        <v>4</v>
      </c>
      <c r="C12" s="10">
        <v>4</v>
      </c>
      <c r="D12" s="10">
        <v>38</v>
      </c>
      <c r="E12" s="10">
        <f>COUNT(Ocena!$O$9,Ocena!$O$20,Ocena!$O$31,Ocena!$O$42,Ocena!$O$53,Ocena!$O$64,Ocena!$O$75,Ocena!$O$86,Ocena!$O$97,Ocena!$O$108,Ocena!$O$119,Ocena!$O$130,Ocena!$O$141,Ocena!$O$152,Ocena!$O$163,Ocena!$O$174,Ocena!$O$185,Ocena!$O$196,Ocena!$O$207,Ocena!$O$218,Ocena!$O$229,Ocena!$O$240,Ocena!$O$251,Ocena!$O$262,Ocena!$O$273,Ocena!$O$284,Ocena!$O$295,Ocena!$O$306,Ocena!$O$317,Ocena!$O$328,Ocena!$O$339,Ocena!$O$350,Ocena!$O$368,Ocena!$O$369,Ocena!$O$383,Ocena!$O$394,Ocena!$O$405,Ocena!$O$416)</f>
        <v>38</v>
      </c>
      <c r="F12" s="8">
        <f t="shared" si="0"/>
        <v>1</v>
      </c>
      <c r="G12" s="9">
        <f>IF(E12=0,"",MEDIAN(Ocena!$O$9,Ocena!$O$20,Ocena!$O$31,Ocena!$O$42,Ocena!$O$53,Ocena!$O$64,Ocena!$O$75,Ocena!$O$86,Ocena!$O$97,Ocena!$O$108,Ocena!$O$119,Ocena!$O$130,Ocena!$O$141,Ocena!$O$152,Ocena!$O$163,Ocena!$O$174,Ocena!$O$185,Ocena!$O$196,Ocena!$O$207,Ocena!$O$218,Ocena!$O$229,Ocena!$O$240,Ocena!$O$251,Ocena!$O$262,Ocena!$O$273,Ocena!$O$284,Ocena!$O$295,Ocena!$O$306,Ocena!$O$317,Ocena!$O$328,Ocena!$O$339,Ocena!$O$350,Ocena!$O$368,Ocena!$O$369,Ocena!$O$383,Ocena!$O$394,Ocena!$O$405,Ocena!$O$416))</f>
        <v>8</v>
      </c>
      <c r="H12" s="9">
        <f>IF(E12=0,"",AVERAGE(Ocena!$O$9,Ocena!$O$20,Ocena!$O$31,Ocena!$O$42,Ocena!$O$53,Ocena!$O$64,Ocena!$O$75,Ocena!$O$86,Ocena!$O$97,Ocena!$O$108,Ocena!$O$119,Ocena!$O$130,Ocena!$O$141,Ocena!$O$152,Ocena!$O$163,Ocena!$O$174,Ocena!$O$185,Ocena!$O$196,Ocena!$O$207,Ocena!$O$218,Ocena!$O$229,Ocena!$O$240,Ocena!$O$251,Ocena!$O$262,Ocena!$O$273,Ocena!$O$284,Ocena!$O$295,Ocena!$O$306,Ocena!$O$317,Ocena!$O$328,Ocena!$O$339,Ocena!$O$350,Ocena!$O$368,Ocena!$O$369,Ocena!$O$383,Ocena!$O$394,Ocena!$O$405,Ocena!$O$416))</f>
        <v>8</v>
      </c>
      <c r="I12" s="9">
        <f>IF(E12=0,"",MEDIAN(Ocena!$K$9,Ocena!$K$20,Ocena!$K$31,Ocena!$K$42,Ocena!$K$53,Ocena!$K$64,Ocena!$K$75,Ocena!$K$86,Ocena!$K$97,Ocena!$K$108,Ocena!$K$119,Ocena!$K$130,Ocena!$K$141,Ocena!$K$152,Ocena!$K$163,Ocena!$K$174,Ocena!$K$185,Ocena!$K$196,Ocena!$K$207,Ocena!$K$218,Ocena!$K$229,Ocena!$K$240,Ocena!$K$251,Ocena!$K$262,Ocena!$K$273,Ocena!$K$284,Ocena!$K$295,Ocena!$K$306,Ocena!$K$317,Ocena!$K$328,Ocena!$K$339,Ocena!$K$350,Ocena!$K$368,Ocena!$K$369,Ocena!$K$383,Ocena!$K$394,Ocena!$K$405,Ocena!$K$416))</f>
        <v>3</v>
      </c>
      <c r="J12" s="9">
        <f>IF(E12=0,"",AVERAGE(Ocena!$K$9,Ocena!$K$20,Ocena!$K$31,Ocena!$K$42,Ocena!$K$53,Ocena!$K$64,Ocena!$K$75,Ocena!$K$86,Ocena!$K$97,Ocena!$K$108,Ocena!$K$119,Ocena!$K$130,Ocena!$K$141,Ocena!$K$152,Ocena!$K$163,Ocena!$K$174,Ocena!$K$185,Ocena!$K$196,Ocena!$K$207,Ocena!$K$218,Ocena!$K$229,Ocena!$K$240,Ocena!$K$251,Ocena!$K$262,Ocena!$K$273,Ocena!$K$284,Ocena!$K$295,Ocena!$K$306,Ocena!$K$317,Ocena!$K$328,Ocena!$K$339,Ocena!$K$350,Ocena!$K$368,Ocena!$K$369,Ocena!$K$383,Ocena!$K$394,Ocena!$K$405,Ocena!$K$416))</f>
        <v>2.4736842105263159</v>
      </c>
      <c r="K12" s="9">
        <f>IF(E12=0,"",MEDIAN(Ocena!$L$9,Ocena!$L$20,Ocena!$L$31,Ocena!$L$42,Ocena!$L$53,Ocena!$L$64,Ocena!$L$75,Ocena!$L$86,Ocena!$L$97,Ocena!$L$108,Ocena!$L$119,Ocena!$L$130,Ocena!$L$141,Ocena!$L$152,Ocena!$L$163,Ocena!$L$174,Ocena!$L$185,Ocena!$L$196,Ocena!$L$207,Ocena!$L$218,Ocena!$L$229,Ocena!$L$240,Ocena!$L$251,Ocena!$L$262,Ocena!$L$273,Ocena!$L$284,Ocena!$L$295,Ocena!$L$306,Ocena!$L$317,Ocena!$L$328,Ocena!$L$339,Ocena!$L$350,Ocena!$L$368,Ocena!$L$369,Ocena!$L$383,Ocena!$L$394,Ocena!$L$405,Ocena!$L$416))</f>
        <v>2</v>
      </c>
      <c r="L12" s="9">
        <f>IF(E12=0,"",AVERAGE(Ocena!$L$9,Ocena!$L$20,Ocena!$L$31,Ocena!$L$42,Ocena!$L$53,Ocena!$L$64,Ocena!$L$75,Ocena!$L$86,Ocena!$L$97,Ocena!$L$108,Ocena!$L$119,Ocena!$L$130,Ocena!$L$141,Ocena!$L$152,Ocena!$L$163,Ocena!$L$174,Ocena!$L$185,Ocena!$L$196,Ocena!$L$207,Ocena!$L$218,Ocena!$L$229,Ocena!$L$240,Ocena!$L$251,Ocena!$L$262,Ocena!$L$273,Ocena!$L$284,Ocena!$L$295,Ocena!$L$306,Ocena!$L$317,Ocena!$L$328,Ocena!$L$339,Ocena!$L$350,Ocena!$L$368,Ocena!$L$369,Ocena!$L$383,Ocena!$L$394,Ocena!$L$405,Ocena!$L$416))</f>
        <v>1.6842105263157894</v>
      </c>
      <c r="M12" s="9">
        <f>IF(E12=0,"",MEDIAN(Ocena!$M$9,Ocena!$M$20,Ocena!$M$31,Ocena!$M$42,Ocena!$M$53,Ocena!$M$64,Ocena!$M$75,Ocena!$M$86,Ocena!$M$97,Ocena!$M$108,Ocena!$M$119,Ocena!$M$130,Ocena!$M$141,Ocena!$M$152,Ocena!$M$163,Ocena!$M$174,Ocena!$M$185,Ocena!$M$196,Ocena!$M$207,Ocena!$M$218,Ocena!$M$229,Ocena!$M$240,Ocena!$M$251,Ocena!$M$262,Ocena!$M$273,Ocena!$M$284,Ocena!$M$295,Ocena!$M$306,Ocena!$M$317,Ocena!$M$328,Ocena!$M$339,Ocena!$M$350,Ocena!$M$368,Ocena!$M$369,Ocena!$M$383,Ocena!$M$394,Ocena!$M$405,Ocena!$M$416))</f>
        <v>2</v>
      </c>
      <c r="N12" s="9">
        <f>IF(E12=0,"",AVERAGE(Ocena!$M$9,Ocena!$M$20,Ocena!$M$31,Ocena!$M$42,Ocena!$M$53,Ocena!$M$64,Ocena!$M$75,Ocena!$M$86,Ocena!$M$97,Ocena!$M$108,Ocena!$M$119,Ocena!$M$130,Ocena!$M$141,Ocena!$M$152,Ocena!$M$163,Ocena!$M$174,Ocena!$M$185,Ocena!$M$196,Ocena!$M$207,Ocena!$M$218,Ocena!$M$229,Ocena!$M$240,Ocena!$M$251,Ocena!$M$262,Ocena!$M$273,Ocena!$M$284,Ocena!$M$295,Ocena!$M$306,Ocena!$M$317,Ocena!$M$328,Ocena!$M$339,Ocena!$M$350,Ocena!$M$368,Ocena!$M$369,Ocena!$M$383,Ocena!$M$394,Ocena!$M$405,Ocena!$M$416))</f>
        <v>1.736842105263158</v>
      </c>
      <c r="O12" s="9">
        <f>IF(E12=0,"",MEDIAN(Ocena!$N$9,Ocena!$N$20,Ocena!$N$31,Ocena!$N$42,Ocena!$N$53,Ocena!$N$64,Ocena!$N$75,Ocena!$N$86,Ocena!$N$97,Ocena!$N$108,Ocena!$N$119,Ocena!$N$130,Ocena!$N$141,Ocena!$N$152,Ocena!$N$163,Ocena!$N$174,Ocena!$N$185,Ocena!$N$196,Ocena!$N$207,Ocena!$N$218,Ocena!$N$229,Ocena!$N$240,Ocena!$N$251,Ocena!$N$262,Ocena!$N$273,Ocena!$N$284,Ocena!$N$295,Ocena!$N$306,Ocena!$N$317,Ocena!$N$328,Ocena!$N$339,Ocena!$N$350,Ocena!$N$368,Ocena!$N$369,Ocena!$N$383,Ocena!$N$394,Ocena!$N$405,Ocena!$N$416))</f>
        <v>2</v>
      </c>
      <c r="P12" s="9">
        <f>IF(E12=0,"",AVERAGE(Ocena!$N$9,Ocena!$N$20,Ocena!$N$31,Ocena!$N$42,Ocena!$N$53,Ocena!$N$64,Ocena!$N$75,Ocena!$N$86,Ocena!$N$97,Ocena!$N$108,Ocena!$N$119,Ocena!$N$130,Ocena!$N$141,Ocena!$N$152,Ocena!$N$163,Ocena!$N$174,Ocena!$N$185,Ocena!$N$196,Ocena!$N$207,Ocena!$N$218,Ocena!$N$229,Ocena!$N$240,Ocena!$N$251,Ocena!$N$262,Ocena!$N$273,Ocena!$N$284,Ocena!$N$295,Ocena!$N$306,Ocena!$N$317,Ocena!$N$328,Ocena!$N$339,Ocena!$N$350,Ocena!$N$368,Ocena!$N$369,Ocena!$N$383,Ocena!$N$394,Ocena!$N$405,Ocena!$N$416))</f>
        <v>2.1052631578947367</v>
      </c>
      <c r="Q12" s="9">
        <f>IF(E12=0,"",MIN(Ocena!$O$9,Ocena!$O$20,Ocena!$O$31,Ocena!$O$42,Ocena!$O$53,Ocena!$O$64,Ocena!$O$75,Ocena!$O$86,Ocena!$O$97,Ocena!$O$108,Ocena!$O$119,Ocena!$O$130,Ocena!$O$141,Ocena!$O$152,Ocena!$O$163,Ocena!$O$174,Ocena!$O$185,Ocena!$O$196,Ocena!$O$207,Ocena!$O$218,Ocena!$O$229,Ocena!$O$240,Ocena!$O$251,Ocena!$O$262,Ocena!$O$273,Ocena!$O$284,Ocena!$O$295,Ocena!$O$306,Ocena!$O$317,Ocena!$O$328,Ocena!$O$339,Ocena!$O$350,Ocena!$O$368,Ocena!$O$369,Ocena!$O$383,Ocena!$O$394,Ocena!$O$405,Ocena!$O$416))</f>
        <v>6</v>
      </c>
      <c r="R12" s="9">
        <f>IF(E12=0,"",MAX(Ocena!$O$9,Ocena!$O$20,Ocena!$O$31,Ocena!$O$42,Ocena!$O$53,Ocena!$O$64,Ocena!$O$75,Ocena!$O$86,Ocena!$O$97,Ocena!$O$108,Ocena!$O$119,Ocena!$O$130,Ocena!$O$141,Ocena!$O$152,Ocena!$O$163,Ocena!$O$174,Ocena!$O$185,Ocena!$O$196,Ocena!$O$207,Ocena!$O$218,Ocena!$O$229,Ocena!$O$240,Ocena!$O$251,Ocena!$O$262,Ocena!$O$273,Ocena!$O$284,Ocena!$O$295,Ocena!$O$306,Ocena!$O$317,Ocena!$O$328,Ocena!$O$339,Ocena!$O$350,Ocena!$O$368,Ocena!$O$369,Ocena!$O$383,Ocena!$O$394,Ocena!$O$405,Ocena!$O$416))</f>
        <v>11</v>
      </c>
      <c r="S12" s="10">
        <f>IF(AND(COUNT(Ocena!$K$9:$N$9)=4,COUNTIF(Ocena!$K$9:$N$9,0)=4),1,0)+IF(AND(COUNT(Ocena!$K$20:$N$20)=4,COUNTIF(Ocena!$K$20:$N$20,0)=4),1,0)+IF(AND(COUNT(Ocena!$K$31:$N$31)=4,COUNTIF(Ocena!$K$31:$N$31,0)=4),1,0)+IF(AND(COUNT(Ocena!$K$42:$N$42)=4,COUNTIF(Ocena!$K$42:$N$42,0)=4),1,0)+IF(AND(COUNT(Ocena!$K$53:$N$53)=4,COUNTIF(Ocena!$K$53:$N$53,0)=4),1,0)+IF(AND(COUNT(Ocena!$K$64:$N$64)=4,COUNTIF(Ocena!$K$64:$N$64,0)=4),1,0)+IF(AND(COUNT(Ocena!$K$75:$N$75)=4,COUNTIF(Ocena!$K$75:$N$75,0)=4),1,0)+IF(AND(COUNT(Ocena!$K$86:$N$86)=4,COUNTIF(Ocena!$K$86:$N$86,0)=4),1,0)+IF(AND(COUNT(Ocena!$K$97:$N$97)=4,COUNTIF(Ocena!$K$97:$N$97,0)=4),1,0)+IF(AND(COUNT(Ocena!$K$108:$N$108)=4,COUNTIF(Ocena!$K$108:$N$108,0)=4),1,0)+IF(AND(COUNT(Ocena!$K$119:$N$119)=4,COUNTIF(Ocena!$K$119:$N$119,0)=4),1,0)+IF(AND(COUNT(Ocena!$K$130:$N$130)=4,COUNTIF(Ocena!$K$130:$N$130,0)=4),1,0)+IF(AND(COUNT(Ocena!$K$141:$N$141)=4,COUNTIF(Ocena!$K$141:$N$141,0)=4),1,0)+IF(AND(COUNT(Ocena!$K$152:$N$152)=4,COUNTIF(Ocena!$K$152:$N$152,0)=4),1,0)+IF(AND(COUNT(Ocena!$K$163:$N$163)=4,COUNTIF(Ocena!$K$163:$N$163,0)=4),1,0)+IF(AND(COUNT(Ocena!$K$174:$N$174)=4,COUNTIF(Ocena!$K$174:$N$174,0)=4),1,0)+IF(AND(COUNT(Ocena!$K$185:$N$185)=4,COUNTIF(Ocena!$K$185:$N$185,0)=4),1,0)+IF(AND(COUNT(Ocena!$K$196:$N$196)=4,COUNTIF(Ocena!$K$196:$N$196,0)=4),1,0)+IF(AND(COUNT(Ocena!$K$207:$N$207)=4,COUNTIF(Ocena!$K$207:$N$207,0)=4),1,0)+IF(AND(COUNT(Ocena!$K$218:$N$218)=4,COUNTIF(Ocena!$K$218:$N$218,0)=4),1,0)+IF(AND(COUNT(Ocena!$K$229:$N$229)=4,COUNTIF(Ocena!$K$229:$N$229,0)=4),1,0)+IF(AND(COUNT(Ocena!$K$240:$N$240)=4,COUNTIF(Ocena!$K$240:$N$240,0)=4),1,0)+IF(AND(COUNT(Ocena!$K$251:$N$251)=4,COUNTIF(Ocena!$K$251:$N$251,0)=4),1,0)+IF(AND(COUNT(Ocena!$K$262:$N$262)=4,COUNTIF(Ocena!$K$262:$N$262,0)=4),1,0)+IF(AND(COUNT(Ocena!$K$273:$N$273)=4,COUNTIF(Ocena!$K$273:$N$273,0)=4),1,0)+IF(AND(COUNT(Ocena!$K$284:$N$284)=4,COUNTIF(Ocena!$K$284:$N$284,0)=4),1,0)+IF(AND(COUNT(Ocena!$K$295:$N$295)=4,COUNTIF(Ocena!$K$295:$N$295,0)=4),1,0)+IF(AND(COUNT(Ocena!$K$306:$N$306)=4,COUNTIF(Ocena!$K$306:$N$306,0)=4),1,0)+IF(AND(COUNT(Ocena!$K$317:$N$317)=4,COUNTIF(Ocena!$K$317:$N$317,0)=4),1,0)+IF(AND(COUNT(Ocena!$K$328:$N$328)=4,COUNTIF(Ocena!$K$328:$N$328,0)=4),1,0)+IF(AND(COUNT(Ocena!$K$339:$N$339)=4,COUNTIF(Ocena!$K$339:$N$339,0)=4),1,0)+IF(AND(COUNT(Ocena!$K$350:$N$350)=4,COUNTIF(Ocena!$K$350:$N$350,0)=4),1,0)+IF(AND(COUNT(Ocena!$K$368:$N$368)=4,COUNTIF(Ocena!$K$368:$N$368,0)=4),1,0)+IF(AND(COUNT(Ocena!$K$369:$N$369)=4,COUNTIF(Ocena!$K$369:$N$369,0)=4),1,0)+IF(AND(COUNT(Ocena!$K$383:$N$383)=4,COUNTIF(Ocena!$K$383:$N$383,0)=4),1,0)+IF(AND(COUNT(Ocena!$K$394:$N$394)=4,COUNTIF(Ocena!$K$394:$N$394,0)=4),1,0)+IF(AND(COUNT(Ocena!$K$405:$N$405)=4,COUNTIF(Ocena!$K$405:$N$405,0)=4),1,0)+IF(AND(COUNT(Ocena!$K$416:$N$416)=4,COUNTIF(Ocena!$K$416:$N$416,0)=4),1,0)</f>
        <v>0</v>
      </c>
      <c r="T12" s="8">
        <f t="shared" si="1"/>
        <v>0</v>
      </c>
    </row>
    <row r="13" spans="1:20" ht="27.95" customHeight="1" x14ac:dyDescent="0.25">
      <c r="A13" s="2" t="s">
        <v>27</v>
      </c>
      <c r="B13" s="10">
        <v>8</v>
      </c>
      <c r="C13" s="10">
        <v>8</v>
      </c>
      <c r="D13" s="10">
        <v>38</v>
      </c>
      <c r="E13" s="10">
        <f>COUNT(Ocena!$O$12,Ocena!$O$23,Ocena!$O$34,Ocena!$O$45,Ocena!$O$56,Ocena!$O$67,Ocena!$O$78,Ocena!$O$89,Ocena!$O$100,Ocena!$O$111,Ocena!$O$122,Ocena!$O$133,Ocena!$O$144,Ocena!$O$155,Ocena!$O$166,Ocena!$O$177,Ocena!$O$188,Ocena!$O$199,Ocena!$O$210,Ocena!$O$221,Ocena!$O$232,Ocena!$O$243,Ocena!$O$254,Ocena!$O$265,Ocena!$O$276,Ocena!$O$287,Ocena!$O$298,Ocena!$O$309,Ocena!$O$320,Ocena!$O$331,Ocena!$O$342,Ocena!$O$353,Ocena!$O$374,Ocena!$O$375,Ocena!$O$386,Ocena!$O$397,Ocena!$O$408,Ocena!$O$419)</f>
        <v>38</v>
      </c>
      <c r="F13" s="8">
        <f t="shared" si="0"/>
        <v>1</v>
      </c>
      <c r="G13" s="9">
        <f>IF(E13=0,"",MEDIAN(Ocena!$O$12,Ocena!$O$23,Ocena!$O$34,Ocena!$O$45,Ocena!$O$56,Ocena!$O$67,Ocena!$O$78,Ocena!$O$89,Ocena!$O$100,Ocena!$O$111,Ocena!$O$122,Ocena!$O$133,Ocena!$O$144,Ocena!$O$155,Ocena!$O$166,Ocena!$O$177,Ocena!$O$188,Ocena!$O$199,Ocena!$O$210,Ocena!$O$221,Ocena!$O$232,Ocena!$O$243,Ocena!$O$254,Ocena!$O$265,Ocena!$O$276,Ocena!$O$287,Ocena!$O$298,Ocena!$O$309,Ocena!$O$320,Ocena!$O$331,Ocena!$O$342,Ocena!$O$353,Ocena!$O$374,Ocena!$O$375,Ocena!$O$386,Ocena!$O$397,Ocena!$O$408,Ocena!$O$419))</f>
        <v>8</v>
      </c>
      <c r="H13" s="9">
        <f>IF(E13=0,"",AVERAGE(Ocena!$O$12,Ocena!$O$23,Ocena!$O$34,Ocena!$O$45,Ocena!$O$56,Ocena!$O$67,Ocena!$O$78,Ocena!$O$89,Ocena!$O$100,Ocena!$O$111,Ocena!$O$122,Ocena!$O$133,Ocena!$O$144,Ocena!$O$155,Ocena!$O$166,Ocena!$O$177,Ocena!$O$188,Ocena!$O$199,Ocena!$O$210,Ocena!$O$221,Ocena!$O$232,Ocena!$O$243,Ocena!$O$254,Ocena!$O$265,Ocena!$O$276,Ocena!$O$287,Ocena!$O$298,Ocena!$O$309,Ocena!$O$320,Ocena!$O$331,Ocena!$O$342,Ocena!$O$353,Ocena!$O$374,Ocena!$O$375,Ocena!$O$386,Ocena!$O$397,Ocena!$O$408,Ocena!$O$419))</f>
        <v>7.7894736842105265</v>
      </c>
      <c r="I13" s="9">
        <f>IF(E13=0,"",MEDIAN(Ocena!$K$12,Ocena!$K$23,Ocena!$K$34,Ocena!$K$45,Ocena!$K$56,Ocena!$K$67,Ocena!$K$78,Ocena!$K$89,Ocena!$K$100,Ocena!$K$111,Ocena!$K$122,Ocena!$K$133,Ocena!$K$144,Ocena!$K$155,Ocena!$K$166,Ocena!$K$177,Ocena!$K$188,Ocena!$K$199,Ocena!$K$210,Ocena!$K$221,Ocena!$K$232,Ocena!$K$243,Ocena!$K$254,Ocena!$K$265,Ocena!$K$276,Ocena!$K$287,Ocena!$K$298,Ocena!$K$309,Ocena!$K$320,Ocena!$K$331,Ocena!$K$342,Ocena!$K$353,Ocena!$K$374,Ocena!$K$375,Ocena!$K$386,Ocena!$K$397,Ocena!$K$408,Ocena!$K$419))</f>
        <v>3</v>
      </c>
      <c r="J13" s="9">
        <f>IF(E13=0,"",AVERAGE(Ocena!$K$12,Ocena!$K$23,Ocena!$K$34,Ocena!$K$45,Ocena!$K$56,Ocena!$K$67,Ocena!$K$78,Ocena!$K$89,Ocena!$K$100,Ocena!$K$111,Ocena!$K$122,Ocena!$K$133,Ocena!$K$144,Ocena!$K$155,Ocena!$K$166,Ocena!$K$177,Ocena!$K$188,Ocena!$K$199,Ocena!$K$210,Ocena!$K$221,Ocena!$K$232,Ocena!$K$243,Ocena!$K$254,Ocena!$K$265,Ocena!$K$276,Ocena!$K$287,Ocena!$K$298,Ocena!$K$309,Ocena!$K$320,Ocena!$K$331,Ocena!$K$342,Ocena!$K$353,Ocena!$K$374,Ocena!$K$375,Ocena!$K$386,Ocena!$K$397,Ocena!$K$408,Ocena!$K$419))</f>
        <v>2.4736842105263159</v>
      </c>
      <c r="K13" s="9">
        <f>IF(E13=0,"",MEDIAN(Ocena!$L$12,Ocena!$L$23,Ocena!$L$34,Ocena!$L$45,Ocena!$L$56,Ocena!$L$67,Ocena!$L$78,Ocena!$L$89,Ocena!$L$100,Ocena!$L$111,Ocena!$L$122,Ocena!$L$133,Ocena!$L$144,Ocena!$L$155,Ocena!$L$166,Ocena!$L$177,Ocena!$L$188,Ocena!$L$199,Ocena!$L$210,Ocena!$L$221,Ocena!$L$232,Ocena!$L$243,Ocena!$L$254,Ocena!$L$265,Ocena!$L$276,Ocena!$L$287,Ocena!$L$298,Ocena!$L$309,Ocena!$L$320,Ocena!$L$331,Ocena!$L$342,Ocena!$L$353,Ocena!$L$374,Ocena!$L$375,Ocena!$L$386,Ocena!$L$397,Ocena!$L$408,Ocena!$L$419))</f>
        <v>2</v>
      </c>
      <c r="L13" s="9">
        <f>IF(E13=0,"",AVERAGE(Ocena!$L$12,Ocena!$L$23,Ocena!$L$34,Ocena!$L$45,Ocena!$L$56,Ocena!$L$67,Ocena!$L$78,Ocena!$L$89,Ocena!$L$100,Ocena!$L$111,Ocena!$L$122,Ocena!$L$133,Ocena!$L$144,Ocena!$L$155,Ocena!$L$166,Ocena!$L$177,Ocena!$L$188,Ocena!$L$199,Ocena!$L$210,Ocena!$L$221,Ocena!$L$232,Ocena!$L$243,Ocena!$L$254,Ocena!$L$265,Ocena!$L$276,Ocena!$L$287,Ocena!$L$298,Ocena!$L$309,Ocena!$L$320,Ocena!$L$331,Ocena!$L$342,Ocena!$L$353,Ocena!$L$374,Ocena!$L$375,Ocena!$L$386,Ocena!$L$397,Ocena!$L$408,Ocena!$L$419))</f>
        <v>1.6578947368421053</v>
      </c>
      <c r="M13" s="9">
        <f>IF(E13=0,"",MEDIAN(Ocena!$M$12,Ocena!$M$23,Ocena!$M$34,Ocena!$M$45,Ocena!$M$56,Ocena!$M$67,Ocena!$M$78,Ocena!$M$89,Ocena!$M$100,Ocena!$M$111,Ocena!$M$122,Ocena!$M$133,Ocena!$M$144,Ocena!$M$155,Ocena!$M$166,Ocena!$M$177,Ocena!$M$188,Ocena!$M$199,Ocena!$M$210,Ocena!$M$221,Ocena!$M$232,Ocena!$M$243,Ocena!$M$254,Ocena!$M$265,Ocena!$M$276,Ocena!$M$287,Ocena!$M$298,Ocena!$M$309,Ocena!$M$320,Ocena!$M$331,Ocena!$M$342,Ocena!$M$353,Ocena!$M$374,Ocena!$M$375,Ocena!$M$386,Ocena!$M$397,Ocena!$M$408,Ocena!$M$419))</f>
        <v>2</v>
      </c>
      <c r="N13" s="9">
        <f>IF(E13=0,"",AVERAGE(Ocena!$M$12,Ocena!$M$23,Ocena!$M$34,Ocena!$M$45,Ocena!$M$56,Ocena!$M$67,Ocena!$M$78,Ocena!$M$89,Ocena!$M$100,Ocena!$M$111,Ocena!$M$122,Ocena!$M$133,Ocena!$M$144,Ocena!$M$155,Ocena!$M$166,Ocena!$M$177,Ocena!$M$188,Ocena!$M$199,Ocena!$M$210,Ocena!$M$221,Ocena!$M$232,Ocena!$M$243,Ocena!$M$254,Ocena!$M$265,Ocena!$M$276,Ocena!$M$287,Ocena!$M$298,Ocena!$M$309,Ocena!$M$320,Ocena!$M$331,Ocena!$M$342,Ocena!$M$353,Ocena!$M$374,Ocena!$M$375,Ocena!$M$386,Ocena!$M$397,Ocena!$M$408,Ocena!$M$419))</f>
        <v>1.5789473684210527</v>
      </c>
      <c r="O13" s="9">
        <f>IF(E13=0,"",MEDIAN(Ocena!$N$12,Ocena!$N$23,Ocena!$N$34,Ocena!$N$45,Ocena!$N$56,Ocena!$N$67,Ocena!$N$78,Ocena!$N$89,Ocena!$N$100,Ocena!$N$111,Ocena!$N$122,Ocena!$N$133,Ocena!$N$144,Ocena!$N$155,Ocena!$N$166,Ocena!$N$177,Ocena!$N$188,Ocena!$N$199,Ocena!$N$210,Ocena!$N$221,Ocena!$N$232,Ocena!$N$243,Ocena!$N$254,Ocena!$N$265,Ocena!$N$276,Ocena!$N$287,Ocena!$N$298,Ocena!$N$309,Ocena!$N$320,Ocena!$N$331,Ocena!$N$342,Ocena!$N$353,Ocena!$N$374,Ocena!$N$375,Ocena!$N$386,Ocena!$N$397,Ocena!$N$408,Ocena!$N$419))</f>
        <v>2</v>
      </c>
      <c r="P13" s="9">
        <f>IF(E13=0,"",AVERAGE(Ocena!$N$12,Ocena!$N$23,Ocena!$N$34,Ocena!$N$45,Ocena!$N$56,Ocena!$N$67,Ocena!$N$78,Ocena!$N$89,Ocena!$N$100,Ocena!$N$111,Ocena!$N$122,Ocena!$N$133,Ocena!$N$144,Ocena!$N$155,Ocena!$N$166,Ocena!$N$177,Ocena!$N$188,Ocena!$N$199,Ocena!$N$210,Ocena!$N$221,Ocena!$N$232,Ocena!$N$243,Ocena!$N$254,Ocena!$N$265,Ocena!$N$276,Ocena!$N$287,Ocena!$N$298,Ocena!$N$309,Ocena!$N$320,Ocena!$N$331,Ocena!$N$342,Ocena!$N$353,Ocena!$N$374,Ocena!$N$375,Ocena!$N$386,Ocena!$N$397,Ocena!$N$408,Ocena!$N$419))</f>
        <v>2.0789473684210527</v>
      </c>
      <c r="Q13" s="9">
        <f>IF(E13=0,"",MIN(Ocena!$O$12,Ocena!$O$23,Ocena!$O$34,Ocena!$O$45,Ocena!$O$56,Ocena!$O$67,Ocena!$O$78,Ocena!$O$89,Ocena!$O$100,Ocena!$O$111,Ocena!$O$122,Ocena!$O$133,Ocena!$O$144,Ocena!$O$155,Ocena!$O$166,Ocena!$O$177,Ocena!$O$188,Ocena!$O$199,Ocena!$O$210,Ocena!$O$221,Ocena!$O$232,Ocena!$O$243,Ocena!$O$254,Ocena!$O$265,Ocena!$O$276,Ocena!$O$287,Ocena!$O$298,Ocena!$O$309,Ocena!$O$320,Ocena!$O$331,Ocena!$O$342,Ocena!$O$353,Ocena!$O$374,Ocena!$O$375,Ocena!$O$386,Ocena!$O$397,Ocena!$O$408,Ocena!$O$419))</f>
        <v>4</v>
      </c>
      <c r="R13" s="9">
        <f>IF(E13=0,"",MAX(Ocena!$O$12,Ocena!$O$23,Ocena!$O$34,Ocena!$O$45,Ocena!$O$56,Ocena!$O$67,Ocena!$O$78,Ocena!$O$89,Ocena!$O$100,Ocena!$O$111,Ocena!$O$122,Ocena!$O$133,Ocena!$O$144,Ocena!$O$155,Ocena!$O$166,Ocena!$O$177,Ocena!$O$188,Ocena!$O$199,Ocena!$O$210,Ocena!$O$221,Ocena!$O$232,Ocena!$O$243,Ocena!$O$254,Ocena!$O$265,Ocena!$O$276,Ocena!$O$287,Ocena!$O$298,Ocena!$O$309,Ocena!$O$320,Ocena!$O$331,Ocena!$O$342,Ocena!$O$353,Ocena!$O$374,Ocena!$O$375,Ocena!$O$386,Ocena!$O$397,Ocena!$O$408,Ocena!$O$419))</f>
        <v>10</v>
      </c>
      <c r="S13" s="10">
        <f>IF(AND(COUNT(Ocena!$K$12:$N$12)=4,COUNTIF(Ocena!$K$12:$N$12,0)=4),1,0)+IF(AND(COUNT(Ocena!$K$23:$N$23)=4,COUNTIF(Ocena!$K$23:$N$23,0)=4),1,0)+IF(AND(COUNT(Ocena!$K$34:$N$34)=4,COUNTIF(Ocena!$K$34:$N$34,0)=4),1,0)+IF(AND(COUNT(Ocena!$K$45:$N$45)=4,COUNTIF(Ocena!$K$45:$N$45,0)=4),1,0)+IF(AND(COUNT(Ocena!$K$56:$N$56)=4,COUNTIF(Ocena!$K$56:$N$56,0)=4),1,0)+IF(AND(COUNT(Ocena!$K$67:$N$67)=4,COUNTIF(Ocena!$K$67:$N$67,0)=4),1,0)+IF(AND(COUNT(Ocena!$K$78:$N$78)=4,COUNTIF(Ocena!$K$78:$N$78,0)=4),1,0)+IF(AND(COUNT(Ocena!$K$89:$N$89)=4,COUNTIF(Ocena!$K$89:$N$89,0)=4),1,0)+IF(AND(COUNT(Ocena!$K$100:$N$100)=4,COUNTIF(Ocena!$K$100:$N$100,0)=4),1,0)+IF(AND(COUNT(Ocena!$K$111:$N$111)=4,COUNTIF(Ocena!$K$111:$N$111,0)=4),1,0)+IF(AND(COUNT(Ocena!$K$122:$N$122)=4,COUNTIF(Ocena!$K$122:$N$122,0)=4),1,0)+IF(AND(COUNT(Ocena!$K$133:$N$133)=4,COUNTIF(Ocena!$K$133:$N$133,0)=4),1,0)+IF(AND(COUNT(Ocena!$K$144:$N$144)=4,COUNTIF(Ocena!$K$144:$N$144,0)=4),1,0)+IF(AND(COUNT(Ocena!$K$155:$N$155)=4,COUNTIF(Ocena!$K$155:$N$155,0)=4),1,0)+IF(AND(COUNT(Ocena!$K$166:$N$166)=4,COUNTIF(Ocena!$K$166:$N$166,0)=4),1,0)+IF(AND(COUNT(Ocena!$K$177:$N$177)=4,COUNTIF(Ocena!$K$177:$N$177,0)=4),1,0)+IF(AND(COUNT(Ocena!$K$188:$N$188)=4,COUNTIF(Ocena!$K$188:$N$188,0)=4),1,0)+IF(AND(COUNT(Ocena!$K$199:$N$199)=4,COUNTIF(Ocena!$K$199:$N$199,0)=4),1,0)+IF(AND(COUNT(Ocena!$K$210:$N$210)=4,COUNTIF(Ocena!$K$210:$N$210,0)=4),1,0)+IF(AND(COUNT(Ocena!$K$221:$N$221)=4,COUNTIF(Ocena!$K$221:$N$221,0)=4),1,0)+IF(AND(COUNT(Ocena!$K$232:$N$232)=4,COUNTIF(Ocena!$K$232:$N$232,0)=4),1,0)+IF(AND(COUNT(Ocena!$K$243:$N$243)=4,COUNTIF(Ocena!$K$243:$N$243,0)=4),1,0)+IF(AND(COUNT(Ocena!$K$254:$N$254)=4,COUNTIF(Ocena!$K$254:$N$254,0)=4),1,0)+IF(AND(COUNT(Ocena!$K$265:$N$265)=4,COUNTIF(Ocena!$K$265:$N$265,0)=4),1,0)+IF(AND(COUNT(Ocena!$K$276:$N$276)=4,COUNTIF(Ocena!$K$276:$N$276,0)=4),1,0)+IF(AND(COUNT(Ocena!$K$287:$N$287)=4,COUNTIF(Ocena!$K$287:$N$287,0)=4),1,0)+IF(AND(COUNT(Ocena!$K$298:$N$298)=4,COUNTIF(Ocena!$K$298:$N$298,0)=4),1,0)+IF(AND(COUNT(Ocena!$K$309:$N$309)=4,COUNTIF(Ocena!$K$309:$N$309,0)=4),1,0)+IF(AND(COUNT(Ocena!$K$320:$N$320)=4,COUNTIF(Ocena!$K$320:$N$320,0)=4),1,0)+IF(AND(COUNT(Ocena!$K$331:$N$331)=4,COUNTIF(Ocena!$K$331:$N$331,0)=4),1,0)+IF(AND(COUNT(Ocena!$K$342:$N$342)=4,COUNTIF(Ocena!$K$342:$N$342,0)=4),1,0)+IF(AND(COUNT(Ocena!$K$353:$N$353)=4,COUNTIF(Ocena!$K$353:$N$353,0)=4),1,0)+IF(AND(COUNT(Ocena!$K$374:$N$374)=4,COUNTIF(Ocena!$K$374:$N$374,0)=4),1,0)+IF(AND(COUNT(Ocena!$K$375:$N$375)=4,COUNTIF(Ocena!$K$375:$N$375,0)=4),1,0)+IF(AND(COUNT(Ocena!$K$386:$N$386)=4,COUNTIF(Ocena!$K$386:$N$386,0)=4),1,0)+IF(AND(COUNT(Ocena!$K$397:$N$397)=4,COUNTIF(Ocena!$K$397:$N$397,0)=4),1,0)+IF(AND(COUNT(Ocena!$K$408:$N$408)=4,COUNTIF(Ocena!$K$408:$N$408,0)=4),1,0)+IF(AND(COUNT(Ocena!$K$419:$N$419)=4,COUNTIF(Ocena!$K$419:$N$419,0)=4),1,0)</f>
        <v>0</v>
      </c>
      <c r="T13" s="8">
        <f t="shared" si="1"/>
        <v>0</v>
      </c>
    </row>
  </sheetData>
  <mergeCells count="1">
    <mergeCell ref="A1:T1"/>
  </mergeCells>
  <conditionalFormatting sqref="F3:F13">
    <cfRule type="dataBar" priority="1">
      <dataBar>
        <cfvo type="num" val="0"/>
        <cfvo type="num" val="1"/>
        <color rgb="FF5B9BD5"/>
      </dataBar>
    </cfRule>
  </conditionalFormatting>
  <conditionalFormatting sqref="G3:H13">
    <cfRule type="colorScale" priority="2">
      <colorScale>
        <cfvo type="num" val="0"/>
        <cfvo type="num" val="6"/>
        <cfvo type="num" val="12"/>
        <color rgb="FFF8696B"/>
        <color rgb="FFFFEB84"/>
        <color rgb="FF63BE7B"/>
      </colorScale>
    </cfRule>
  </conditionalFormatting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Ocena</vt:lpstr>
      <vt:lpstr>Skala</vt:lpstr>
      <vt:lpstr>Podsumowanie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Snopkowski Kamil (STUD)</cp:lastModifiedBy>
  <dcterms:modified xsi:type="dcterms:W3CDTF">2026-08-16T20:06:43Z</dcterms:modified>
</cp:coreProperties>
</file>