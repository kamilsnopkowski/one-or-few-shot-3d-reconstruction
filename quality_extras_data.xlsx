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ne-or-few-shot-3d-reconstruction\"/>
    </mc:Choice>
  </mc:AlternateContent>
  <xr:revisionPtr revIDLastSave="0" documentId="13_ncr:1_{07F82E08-74DF-4537-AE45-FEB4D9E611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cena" sheetId="2" r:id="rId1"/>
    <sheet name="Skala" sheetId="3" r:id="rId2"/>
    <sheet name="Podsumowanie" sheetId="4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4" l="1"/>
  <c r="U20" i="4" s="1"/>
  <c r="T19" i="4"/>
  <c r="U19" i="4" s="1"/>
  <c r="T18" i="4"/>
  <c r="U18" i="4" s="1"/>
  <c r="T17" i="4"/>
  <c r="U17" i="4" s="1"/>
  <c r="T16" i="4"/>
  <c r="U16" i="4" s="1"/>
  <c r="T15" i="4"/>
  <c r="U15" i="4" s="1"/>
  <c r="T14" i="4"/>
  <c r="U14" i="4" s="1"/>
  <c r="T13" i="4"/>
  <c r="U13" i="4" s="1"/>
  <c r="T12" i="4"/>
  <c r="U12" i="4" s="1"/>
  <c r="T11" i="4"/>
  <c r="U11" i="4" s="1"/>
  <c r="T10" i="4"/>
  <c r="U10" i="4" s="1"/>
  <c r="T9" i="4"/>
  <c r="U9" i="4" s="1"/>
  <c r="T8" i="4"/>
  <c r="U8" i="4" s="1"/>
  <c r="T7" i="4"/>
  <c r="U7" i="4" s="1"/>
  <c r="T6" i="4"/>
  <c r="U6" i="4" s="1"/>
  <c r="T5" i="4"/>
  <c r="U5" i="4" s="1"/>
  <c r="T4" i="4"/>
  <c r="U4" i="4" s="1"/>
  <c r="T3" i="4"/>
  <c r="U3" i="4" s="1"/>
  <c r="R163" i="2"/>
  <c r="P163" i="2"/>
  <c r="I163" i="2"/>
  <c r="R162" i="2"/>
  <c r="P162" i="2"/>
  <c r="I162" i="2"/>
  <c r="R161" i="2"/>
  <c r="P161" i="2"/>
  <c r="I161" i="2"/>
  <c r="R160" i="2"/>
  <c r="P160" i="2"/>
  <c r="I160" i="2"/>
  <c r="R159" i="2"/>
  <c r="P159" i="2"/>
  <c r="I159" i="2"/>
  <c r="R158" i="2"/>
  <c r="P158" i="2"/>
  <c r="I158" i="2"/>
  <c r="R157" i="2"/>
  <c r="P157" i="2"/>
  <c r="I157" i="2"/>
  <c r="R156" i="2"/>
  <c r="P156" i="2"/>
  <c r="I156" i="2"/>
  <c r="R155" i="2"/>
  <c r="P155" i="2"/>
  <c r="I155" i="2"/>
  <c r="R154" i="2"/>
  <c r="P154" i="2"/>
  <c r="I154" i="2"/>
  <c r="R153" i="2"/>
  <c r="P153" i="2"/>
  <c r="I153" i="2"/>
  <c r="R152" i="2"/>
  <c r="P152" i="2"/>
  <c r="I152" i="2"/>
  <c r="R151" i="2"/>
  <c r="P151" i="2"/>
  <c r="I151" i="2"/>
  <c r="R150" i="2"/>
  <c r="P150" i="2"/>
  <c r="I150" i="2"/>
  <c r="R149" i="2"/>
  <c r="P149" i="2"/>
  <c r="I149" i="2"/>
  <c r="R148" i="2"/>
  <c r="P148" i="2"/>
  <c r="I148" i="2"/>
  <c r="R147" i="2"/>
  <c r="P147" i="2"/>
  <c r="I147" i="2"/>
  <c r="R146" i="2"/>
  <c r="P146" i="2"/>
  <c r="I146" i="2"/>
  <c r="R145" i="2"/>
  <c r="P145" i="2"/>
  <c r="I145" i="2"/>
  <c r="R144" i="2"/>
  <c r="P144" i="2"/>
  <c r="I144" i="2"/>
  <c r="R143" i="2"/>
  <c r="P143" i="2"/>
  <c r="I143" i="2"/>
  <c r="R142" i="2"/>
  <c r="P142" i="2"/>
  <c r="I142" i="2"/>
  <c r="R141" i="2"/>
  <c r="P141" i="2"/>
  <c r="I141" i="2"/>
  <c r="R140" i="2"/>
  <c r="P140" i="2"/>
  <c r="I140" i="2"/>
  <c r="R139" i="2"/>
  <c r="P139" i="2"/>
  <c r="I139" i="2"/>
  <c r="R138" i="2"/>
  <c r="P138" i="2"/>
  <c r="I138" i="2"/>
  <c r="R137" i="2"/>
  <c r="P137" i="2"/>
  <c r="I137" i="2"/>
  <c r="R136" i="2"/>
  <c r="P136" i="2"/>
  <c r="I136" i="2"/>
  <c r="R135" i="2"/>
  <c r="P135" i="2"/>
  <c r="I135" i="2"/>
  <c r="R134" i="2"/>
  <c r="P134" i="2"/>
  <c r="I134" i="2"/>
  <c r="R133" i="2"/>
  <c r="P133" i="2"/>
  <c r="I133" i="2"/>
  <c r="R132" i="2"/>
  <c r="P132" i="2"/>
  <c r="I132" i="2"/>
  <c r="R131" i="2"/>
  <c r="P131" i="2"/>
  <c r="I131" i="2"/>
  <c r="R130" i="2"/>
  <c r="P130" i="2"/>
  <c r="I130" i="2"/>
  <c r="R129" i="2"/>
  <c r="P129" i="2"/>
  <c r="I129" i="2"/>
  <c r="R128" i="2"/>
  <c r="P128" i="2"/>
  <c r="I128" i="2"/>
  <c r="R127" i="2"/>
  <c r="P127" i="2"/>
  <c r="I127" i="2"/>
  <c r="R126" i="2"/>
  <c r="P126" i="2"/>
  <c r="I126" i="2"/>
  <c r="R125" i="2"/>
  <c r="P125" i="2"/>
  <c r="I125" i="2"/>
  <c r="R124" i="2"/>
  <c r="P124" i="2"/>
  <c r="I124" i="2"/>
  <c r="R123" i="2"/>
  <c r="P123" i="2"/>
  <c r="I123" i="2"/>
  <c r="R122" i="2"/>
  <c r="P122" i="2"/>
  <c r="I122" i="2"/>
  <c r="R121" i="2"/>
  <c r="P121" i="2"/>
  <c r="I121" i="2"/>
  <c r="R120" i="2"/>
  <c r="P120" i="2"/>
  <c r="I120" i="2"/>
  <c r="R119" i="2"/>
  <c r="P119" i="2"/>
  <c r="I119" i="2"/>
  <c r="R118" i="2"/>
  <c r="P118" i="2"/>
  <c r="I118" i="2"/>
  <c r="R117" i="2"/>
  <c r="P117" i="2"/>
  <c r="I117" i="2"/>
  <c r="R116" i="2"/>
  <c r="P116" i="2"/>
  <c r="I116" i="2"/>
  <c r="R115" i="2"/>
  <c r="P115" i="2"/>
  <c r="I115" i="2"/>
  <c r="R114" i="2"/>
  <c r="P114" i="2"/>
  <c r="I114" i="2"/>
  <c r="R113" i="2"/>
  <c r="P113" i="2"/>
  <c r="I113" i="2"/>
  <c r="R112" i="2"/>
  <c r="P112" i="2"/>
  <c r="I112" i="2"/>
  <c r="R111" i="2"/>
  <c r="P111" i="2"/>
  <c r="I111" i="2"/>
  <c r="R110" i="2"/>
  <c r="P110" i="2"/>
  <c r="I110" i="2"/>
  <c r="R109" i="2"/>
  <c r="P109" i="2"/>
  <c r="I109" i="2"/>
  <c r="R108" i="2"/>
  <c r="P108" i="2"/>
  <c r="I108" i="2"/>
  <c r="R107" i="2"/>
  <c r="P107" i="2"/>
  <c r="I107" i="2"/>
  <c r="R106" i="2"/>
  <c r="P106" i="2"/>
  <c r="I106" i="2"/>
  <c r="R105" i="2"/>
  <c r="P105" i="2"/>
  <c r="I105" i="2"/>
  <c r="R104" i="2"/>
  <c r="P104" i="2"/>
  <c r="I104" i="2"/>
  <c r="R103" i="2"/>
  <c r="P103" i="2"/>
  <c r="I103" i="2"/>
  <c r="R102" i="2"/>
  <c r="P102" i="2"/>
  <c r="I102" i="2"/>
  <c r="R101" i="2"/>
  <c r="P101" i="2"/>
  <c r="I101" i="2"/>
  <c r="R100" i="2"/>
  <c r="P100" i="2"/>
  <c r="I100" i="2"/>
  <c r="R99" i="2"/>
  <c r="P99" i="2"/>
  <c r="I99" i="2"/>
  <c r="R98" i="2"/>
  <c r="P98" i="2"/>
  <c r="I98" i="2"/>
  <c r="R97" i="2"/>
  <c r="P97" i="2"/>
  <c r="I97" i="2"/>
  <c r="R96" i="2"/>
  <c r="P96" i="2"/>
  <c r="I96" i="2"/>
  <c r="R95" i="2"/>
  <c r="P95" i="2"/>
  <c r="I95" i="2"/>
  <c r="R94" i="2"/>
  <c r="P94" i="2"/>
  <c r="I94" i="2"/>
  <c r="R93" i="2"/>
  <c r="P93" i="2"/>
  <c r="I93" i="2"/>
  <c r="R92" i="2"/>
  <c r="P92" i="2"/>
  <c r="I92" i="2"/>
  <c r="R91" i="2"/>
  <c r="P91" i="2"/>
  <c r="I91" i="2"/>
  <c r="R90" i="2"/>
  <c r="P90" i="2"/>
  <c r="I90" i="2"/>
  <c r="R89" i="2"/>
  <c r="P89" i="2"/>
  <c r="I89" i="2"/>
  <c r="R88" i="2"/>
  <c r="P88" i="2"/>
  <c r="I88" i="2"/>
  <c r="R87" i="2"/>
  <c r="P87" i="2"/>
  <c r="I87" i="2"/>
  <c r="R86" i="2"/>
  <c r="P86" i="2"/>
  <c r="I86" i="2"/>
  <c r="R85" i="2"/>
  <c r="P85" i="2"/>
  <c r="I85" i="2"/>
  <c r="R84" i="2"/>
  <c r="P84" i="2"/>
  <c r="I84" i="2"/>
  <c r="R83" i="2"/>
  <c r="P83" i="2"/>
  <c r="I83" i="2"/>
  <c r="R82" i="2"/>
  <c r="P82" i="2"/>
  <c r="I82" i="2"/>
  <c r="R81" i="2"/>
  <c r="P81" i="2"/>
  <c r="I81" i="2"/>
  <c r="R80" i="2"/>
  <c r="P80" i="2"/>
  <c r="I80" i="2"/>
  <c r="R79" i="2"/>
  <c r="P79" i="2"/>
  <c r="I79" i="2"/>
  <c r="R78" i="2"/>
  <c r="P78" i="2"/>
  <c r="I78" i="2"/>
  <c r="R77" i="2"/>
  <c r="P77" i="2"/>
  <c r="I77" i="2"/>
  <c r="R76" i="2"/>
  <c r="P76" i="2"/>
  <c r="I76" i="2"/>
  <c r="R75" i="2"/>
  <c r="P75" i="2"/>
  <c r="I75" i="2"/>
  <c r="R74" i="2"/>
  <c r="P74" i="2"/>
  <c r="I74" i="2"/>
  <c r="R73" i="2"/>
  <c r="P73" i="2"/>
  <c r="I73" i="2"/>
  <c r="R72" i="2"/>
  <c r="P72" i="2"/>
  <c r="I72" i="2"/>
  <c r="R71" i="2"/>
  <c r="P71" i="2"/>
  <c r="I71" i="2"/>
  <c r="R70" i="2"/>
  <c r="P70" i="2"/>
  <c r="I70" i="2"/>
  <c r="R69" i="2"/>
  <c r="P69" i="2"/>
  <c r="I69" i="2"/>
  <c r="R68" i="2"/>
  <c r="P68" i="2"/>
  <c r="I68" i="2"/>
  <c r="R67" i="2"/>
  <c r="P67" i="2"/>
  <c r="I67" i="2"/>
  <c r="R66" i="2"/>
  <c r="P66" i="2"/>
  <c r="I66" i="2"/>
  <c r="R65" i="2"/>
  <c r="P65" i="2"/>
  <c r="I65" i="2"/>
  <c r="R64" i="2"/>
  <c r="P64" i="2"/>
  <c r="I64" i="2"/>
  <c r="R63" i="2"/>
  <c r="P63" i="2"/>
  <c r="I63" i="2"/>
  <c r="R62" i="2"/>
  <c r="P62" i="2"/>
  <c r="I62" i="2"/>
  <c r="R61" i="2"/>
  <c r="P61" i="2"/>
  <c r="I61" i="2"/>
  <c r="R60" i="2"/>
  <c r="P60" i="2"/>
  <c r="I60" i="2"/>
  <c r="R59" i="2"/>
  <c r="P59" i="2"/>
  <c r="I59" i="2"/>
  <c r="R58" i="2"/>
  <c r="P58" i="2"/>
  <c r="I58" i="2"/>
  <c r="R57" i="2"/>
  <c r="P57" i="2"/>
  <c r="I57" i="2"/>
  <c r="R56" i="2"/>
  <c r="P56" i="2"/>
  <c r="I56" i="2"/>
  <c r="R55" i="2"/>
  <c r="P55" i="2"/>
  <c r="I55" i="2"/>
  <c r="R54" i="2"/>
  <c r="P54" i="2"/>
  <c r="I54" i="2"/>
  <c r="R53" i="2"/>
  <c r="P53" i="2"/>
  <c r="I53" i="2"/>
  <c r="R52" i="2"/>
  <c r="P52" i="2"/>
  <c r="I52" i="2"/>
  <c r="R51" i="2"/>
  <c r="P51" i="2"/>
  <c r="I51" i="2"/>
  <c r="R50" i="2"/>
  <c r="P50" i="2"/>
  <c r="I50" i="2"/>
  <c r="R49" i="2"/>
  <c r="P49" i="2"/>
  <c r="I49" i="2"/>
  <c r="R48" i="2"/>
  <c r="P48" i="2"/>
  <c r="I48" i="2"/>
  <c r="R47" i="2"/>
  <c r="P47" i="2"/>
  <c r="I47" i="2"/>
  <c r="R46" i="2"/>
  <c r="P46" i="2"/>
  <c r="I46" i="2"/>
  <c r="R45" i="2"/>
  <c r="P45" i="2"/>
  <c r="I45" i="2"/>
  <c r="R44" i="2"/>
  <c r="P44" i="2"/>
  <c r="I44" i="2"/>
  <c r="R43" i="2"/>
  <c r="P43" i="2"/>
  <c r="I43" i="2"/>
  <c r="R42" i="2"/>
  <c r="P42" i="2"/>
  <c r="I42" i="2"/>
  <c r="R41" i="2"/>
  <c r="P41" i="2"/>
  <c r="I41" i="2"/>
  <c r="R40" i="2"/>
  <c r="P40" i="2"/>
  <c r="I40" i="2"/>
  <c r="R39" i="2"/>
  <c r="P39" i="2"/>
  <c r="I39" i="2"/>
  <c r="R38" i="2"/>
  <c r="P38" i="2"/>
  <c r="I38" i="2"/>
  <c r="R37" i="2"/>
  <c r="P37" i="2"/>
  <c r="I37" i="2"/>
  <c r="R36" i="2"/>
  <c r="P36" i="2"/>
  <c r="I36" i="2"/>
  <c r="R35" i="2"/>
  <c r="P35" i="2"/>
  <c r="I35" i="2"/>
  <c r="R34" i="2"/>
  <c r="P34" i="2"/>
  <c r="I34" i="2"/>
  <c r="R33" i="2"/>
  <c r="P33" i="2"/>
  <c r="I33" i="2"/>
  <c r="R32" i="2"/>
  <c r="P32" i="2"/>
  <c r="I32" i="2"/>
  <c r="R31" i="2"/>
  <c r="P31" i="2"/>
  <c r="I31" i="2"/>
  <c r="R30" i="2"/>
  <c r="P30" i="2"/>
  <c r="I30" i="2"/>
  <c r="R29" i="2"/>
  <c r="P29" i="2"/>
  <c r="I29" i="2"/>
  <c r="R28" i="2"/>
  <c r="P28" i="2"/>
  <c r="I28" i="2"/>
  <c r="R27" i="2"/>
  <c r="P27" i="2"/>
  <c r="I27" i="2"/>
  <c r="R26" i="2"/>
  <c r="P26" i="2"/>
  <c r="I26" i="2"/>
  <c r="R25" i="2"/>
  <c r="P25" i="2"/>
  <c r="I25" i="2"/>
  <c r="R24" i="2"/>
  <c r="P24" i="2"/>
  <c r="I24" i="2"/>
  <c r="R23" i="2"/>
  <c r="P23" i="2"/>
  <c r="I23" i="2"/>
  <c r="R22" i="2"/>
  <c r="P22" i="2"/>
  <c r="I22" i="2"/>
  <c r="R21" i="2"/>
  <c r="P21" i="2"/>
  <c r="I21" i="2"/>
  <c r="R20" i="2"/>
  <c r="P20" i="2"/>
  <c r="I20" i="2"/>
  <c r="R19" i="2"/>
  <c r="P19" i="2"/>
  <c r="I19" i="2"/>
  <c r="R18" i="2"/>
  <c r="P18" i="2"/>
  <c r="I18" i="2"/>
  <c r="R17" i="2"/>
  <c r="P17" i="2"/>
  <c r="I17" i="2"/>
  <c r="R16" i="2"/>
  <c r="P16" i="2"/>
  <c r="I16" i="2"/>
  <c r="R15" i="2"/>
  <c r="P15" i="2"/>
  <c r="I15" i="2"/>
  <c r="R14" i="2"/>
  <c r="P14" i="2"/>
  <c r="I14" i="2"/>
  <c r="R13" i="2"/>
  <c r="P13" i="2"/>
  <c r="I13" i="2"/>
  <c r="R12" i="2"/>
  <c r="P12" i="2"/>
  <c r="I12" i="2"/>
  <c r="R11" i="2"/>
  <c r="P11" i="2"/>
  <c r="I11" i="2"/>
  <c r="R10" i="2"/>
  <c r="P10" i="2"/>
  <c r="I10" i="2"/>
  <c r="R9" i="2"/>
  <c r="P9" i="2"/>
  <c r="I9" i="2"/>
  <c r="R8" i="2"/>
  <c r="P8" i="2"/>
  <c r="I8" i="2"/>
  <c r="R7" i="2"/>
  <c r="P7" i="2"/>
  <c r="I7" i="2"/>
  <c r="R6" i="2"/>
  <c r="P6" i="2"/>
  <c r="I6" i="2"/>
  <c r="R5" i="2"/>
  <c r="P5" i="2"/>
  <c r="I5" i="2"/>
  <c r="R4" i="2"/>
  <c r="P4" i="2"/>
  <c r="I4" i="2"/>
  <c r="R3" i="2"/>
  <c r="P3" i="2"/>
  <c r="I3" i="2"/>
  <c r="R2" i="2"/>
  <c r="P2" i="2"/>
  <c r="I2" i="2"/>
  <c r="F19" i="4" l="1"/>
  <c r="Q19" i="4" s="1"/>
  <c r="F9" i="4"/>
  <c r="S9" i="4" s="1"/>
  <c r="F12" i="4"/>
  <c r="N12" i="4" s="1"/>
  <c r="F4" i="4"/>
  <c r="N4" i="4" s="1"/>
  <c r="F11" i="4"/>
  <c r="K11" i="4" s="1"/>
  <c r="F14" i="4"/>
  <c r="P14" i="4" s="1"/>
  <c r="F16" i="4"/>
  <c r="K16" i="4" s="1"/>
  <c r="F6" i="4"/>
  <c r="H6" i="4" s="1"/>
  <c r="F13" i="4"/>
  <c r="S13" i="4" s="1"/>
  <c r="F7" i="4"/>
  <c r="Q7" i="4" s="1"/>
  <c r="F3" i="4"/>
  <c r="R3" i="4" s="1"/>
  <c r="F18" i="4"/>
  <c r="O18" i="4" s="1"/>
  <c r="F8" i="4"/>
  <c r="P8" i="4" s="1"/>
  <c r="F15" i="4"/>
  <c r="L15" i="4" s="1"/>
  <c r="F10" i="4"/>
  <c r="M10" i="4" s="1"/>
  <c r="F20" i="4"/>
  <c r="I20" i="4" s="1"/>
  <c r="F17" i="4"/>
  <c r="S17" i="4" s="1"/>
  <c r="F5" i="4"/>
  <c r="N5" i="4" s="1"/>
  <c r="L9" i="4" l="1"/>
  <c r="H19" i="4"/>
  <c r="L19" i="4"/>
  <c r="R19" i="4"/>
  <c r="O19" i="4"/>
  <c r="P19" i="4"/>
  <c r="J19" i="4"/>
  <c r="K19" i="4"/>
  <c r="S19" i="4"/>
  <c r="G9" i="4"/>
  <c r="H9" i="4"/>
  <c r="I9" i="4"/>
  <c r="J9" i="4"/>
  <c r="K9" i="4"/>
  <c r="M9" i="4"/>
  <c r="G19" i="4"/>
  <c r="N9" i="4"/>
  <c r="I19" i="4"/>
  <c r="S14" i="4"/>
  <c r="O4" i="4"/>
  <c r="O9" i="4"/>
  <c r="P4" i="4"/>
  <c r="Q4" i="4"/>
  <c r="P9" i="4"/>
  <c r="M19" i="4"/>
  <c r="N19" i="4"/>
  <c r="Q9" i="4"/>
  <c r="R9" i="4"/>
  <c r="G5" i="4"/>
  <c r="H5" i="4"/>
  <c r="I5" i="4"/>
  <c r="G12" i="4"/>
  <c r="H12" i="4"/>
  <c r="J12" i="4"/>
  <c r="K12" i="4"/>
  <c r="O12" i="4"/>
  <c r="P12" i="4"/>
  <c r="Q12" i="4"/>
  <c r="R12" i="4"/>
  <c r="S12" i="4"/>
  <c r="G11" i="4"/>
  <c r="O11" i="4"/>
  <c r="P11" i="4"/>
  <c r="G4" i="4"/>
  <c r="L3" i="4"/>
  <c r="L6" i="4"/>
  <c r="R11" i="4"/>
  <c r="J3" i="4"/>
  <c r="G13" i="4"/>
  <c r="M6" i="4"/>
  <c r="N6" i="4"/>
  <c r="S11" i="4"/>
  <c r="K3" i="4"/>
  <c r="Q11" i="4"/>
  <c r="O6" i="4"/>
  <c r="M15" i="4"/>
  <c r="L16" i="4"/>
  <c r="H4" i="4"/>
  <c r="I4" i="4"/>
  <c r="P6" i="4"/>
  <c r="H3" i="4"/>
  <c r="L12" i="4"/>
  <c r="J4" i="4"/>
  <c r="I3" i="4"/>
  <c r="M12" i="4"/>
  <c r="K4" i="4"/>
  <c r="M16" i="4"/>
  <c r="O16" i="4"/>
  <c r="N16" i="4"/>
  <c r="I13" i="4"/>
  <c r="G7" i="4"/>
  <c r="Q16" i="4"/>
  <c r="P16" i="4"/>
  <c r="H11" i="4"/>
  <c r="H13" i="4"/>
  <c r="P13" i="4"/>
  <c r="H7" i="4"/>
  <c r="Q13" i="4"/>
  <c r="G14" i="4"/>
  <c r="S4" i="4"/>
  <c r="R16" i="4"/>
  <c r="R13" i="4"/>
  <c r="S16" i="4"/>
  <c r="I6" i="4"/>
  <c r="L11" i="4"/>
  <c r="R4" i="4"/>
  <c r="H14" i="4"/>
  <c r="J6" i="4"/>
  <c r="M11" i="4"/>
  <c r="I14" i="4"/>
  <c r="K6" i="4"/>
  <c r="I12" i="4"/>
  <c r="N11" i="4"/>
  <c r="J14" i="4"/>
  <c r="O15" i="4"/>
  <c r="Q10" i="4"/>
  <c r="P10" i="4"/>
  <c r="P15" i="4"/>
  <c r="Q15" i="4"/>
  <c r="I7" i="4"/>
  <c r="R15" i="4"/>
  <c r="G8" i="4"/>
  <c r="N10" i="4"/>
  <c r="M3" i="4"/>
  <c r="G18" i="4"/>
  <c r="J7" i="4"/>
  <c r="I18" i="4"/>
  <c r="J13" i="4"/>
  <c r="S7" i="4"/>
  <c r="Q6" i="4"/>
  <c r="K14" i="4"/>
  <c r="Q8" i="4"/>
  <c r="H8" i="4"/>
  <c r="H18" i="4"/>
  <c r="L13" i="4"/>
  <c r="R6" i="4"/>
  <c r="R18" i="4"/>
  <c r="N15" i="4"/>
  <c r="O10" i="4"/>
  <c r="R10" i="4"/>
  <c r="R7" i="4"/>
  <c r="I8" i="4"/>
  <c r="J8" i="4"/>
  <c r="K13" i="4"/>
  <c r="M13" i="4"/>
  <c r="S8" i="4"/>
  <c r="M4" i="4"/>
  <c r="S3" i="4"/>
  <c r="P18" i="4"/>
  <c r="Q18" i="4"/>
  <c r="L14" i="4"/>
  <c r="R8" i="4"/>
  <c r="S6" i="4"/>
  <c r="I11" i="4"/>
  <c r="L4" i="4"/>
  <c r="M14" i="4"/>
  <c r="S18" i="4"/>
  <c r="N13" i="4"/>
  <c r="G16" i="4"/>
  <c r="J11" i="4"/>
  <c r="Q14" i="4"/>
  <c r="G3" i="4"/>
  <c r="O13" i="4"/>
  <c r="H16" i="4"/>
  <c r="R14" i="4"/>
  <c r="L20" i="4"/>
  <c r="M20" i="4"/>
  <c r="L5" i="4"/>
  <c r="S10" i="4"/>
  <c r="N20" i="4"/>
  <c r="O20" i="4"/>
  <c r="P20" i="4"/>
  <c r="O5" i="4"/>
  <c r="P5" i="4"/>
  <c r="K7" i="4"/>
  <c r="G10" i="4"/>
  <c r="J20" i="4"/>
  <c r="H17" i="4"/>
  <c r="M5" i="4"/>
  <c r="Q20" i="4"/>
  <c r="N17" i="4"/>
  <c r="H10" i="4"/>
  <c r="K5" i="4"/>
  <c r="K17" i="4"/>
  <c r="G15" i="4"/>
  <c r="L7" i="4"/>
  <c r="O17" i="4"/>
  <c r="N3" i="4"/>
  <c r="M7" i="4"/>
  <c r="I10" i="4"/>
  <c r="R20" i="4"/>
  <c r="H15" i="4"/>
  <c r="J17" i="4"/>
  <c r="S15" i="4"/>
  <c r="L17" i="4"/>
  <c r="M17" i="4"/>
  <c r="S20" i="4"/>
  <c r="K8" i="4"/>
  <c r="J18" i="4"/>
  <c r="L8" i="4"/>
  <c r="R5" i="4"/>
  <c r="M8" i="4"/>
  <c r="P17" i="4"/>
  <c r="I15" i="4"/>
  <c r="L18" i="4"/>
  <c r="O3" i="4"/>
  <c r="J10" i="4"/>
  <c r="N8" i="4"/>
  <c r="Q17" i="4"/>
  <c r="G20" i="4"/>
  <c r="J15" i="4"/>
  <c r="M18" i="4"/>
  <c r="P3" i="4"/>
  <c r="I16" i="4"/>
  <c r="O7" i="4"/>
  <c r="K10" i="4"/>
  <c r="N14" i="4"/>
  <c r="G17" i="4"/>
  <c r="I17" i="4"/>
  <c r="Q5" i="4"/>
  <c r="K18" i="4"/>
  <c r="S5" i="4"/>
  <c r="N7" i="4"/>
  <c r="O8" i="4"/>
  <c r="R17" i="4"/>
  <c r="H20" i="4"/>
  <c r="K15" i="4"/>
  <c r="N18" i="4"/>
  <c r="Q3" i="4"/>
  <c r="G6" i="4"/>
  <c r="J16" i="4"/>
  <c r="P7" i="4"/>
  <c r="L10" i="4"/>
  <c r="O14" i="4"/>
  <c r="K20" i="4"/>
  <c r="J5" i="4"/>
</calcChain>
</file>

<file path=xl/sharedStrings.xml><?xml version="1.0" encoding="utf-8"?>
<sst xmlns="http://schemas.openxmlformats.org/spreadsheetml/2006/main" count="1725" uniqueCount="251">
  <si>
    <t>Lp.</t>
  </si>
  <si>
    <t>Nazwa przypadku</t>
  </si>
  <si>
    <t>Zbiór</t>
  </si>
  <si>
    <t>Scena</t>
  </si>
  <si>
    <t>Kategoria scen</t>
  </si>
  <si>
    <t>Wariant</t>
  </si>
  <si>
    <t>Liczba obrazów (scenariusz)</t>
  </si>
  <si>
    <t>Model</t>
  </si>
  <si>
    <t>Rekonstrukcja GLB</t>
  </si>
  <si>
    <t>Obrazy źródłowe</t>
  </si>
  <si>
    <t>Status</t>
  </si>
  <si>
    <t>C – kompletność</t>
  </si>
  <si>
    <t>G – geometria</t>
  </si>
  <si>
    <t>A – artefakty</t>
  </si>
  <si>
    <t>D – struktura i szczegóły</t>
  </si>
  <si>
    <t>Q – suma</t>
  </si>
  <si>
    <t>Uwagi jakościowe</t>
  </si>
  <si>
    <t>Kontrola</t>
  </si>
  <si>
    <t>Katalog źródłowy (WSL)</t>
  </si>
  <si>
    <t>llff_fortress_a_scen_2</t>
  </si>
  <si>
    <t>LLFF</t>
  </si>
  <si>
    <t>fortress</t>
  </si>
  <si>
    <t>Obiektowe</t>
  </si>
  <si>
    <t>a</t>
  </si>
  <si>
    <t>VGGT</t>
  </si>
  <si>
    <t>IMG_1800.JPG
IMG_1820.JPG</t>
  </si>
  <si>
    <t>Oceniono</t>
  </si>
  <si>
    <t/>
  </si>
  <si>
    <t>/home/kamil/dataset/nerf_llff_data/fortress/images/scen_2</t>
  </si>
  <si>
    <t>llff_fortress_b_scen_2</t>
  </si>
  <si>
    <t>b</t>
  </si>
  <si>
    <t>IMG_1810.JPG
IMG_1815.JPG</t>
  </si>
  <si>
    <t>Do oceny</t>
  </si>
  <si>
    <t>/home/kamil/dataset/nerf_llff_data/fortress_B/images/scen_2</t>
  </si>
  <si>
    <t>llff_fortress_c_scen_2</t>
  </si>
  <si>
    <t>c</t>
  </si>
  <si>
    <t>IMG_1820.JPG
IMG_1825.JPG</t>
  </si>
  <si>
    <t>/home/kamil/dataset/nerf_llff_data/fortress_C/images/scen_2</t>
  </si>
  <si>
    <t>MASt3R</t>
  </si>
  <si>
    <t>MapAnything</t>
  </si>
  <si>
    <t>llff_fortress_a_scen_3</t>
  </si>
  <si>
    <t>IMG_1800.JPG
IMG_1820.JPG
IMG_1830.JPG
IMG_1835.JPG</t>
  </si>
  <si>
    <t>/home/kamil/dataset/nerf_llff_data/fortress/images/scen_3</t>
  </si>
  <si>
    <t>llff_fortress_b_scen_3</t>
  </si>
  <si>
    <t>IMG_1800.JPG
IMG_1805.JPG
IMG_1810.JPG
IMG_1815.JPG</t>
  </si>
  <si>
    <t>/home/kamil/dataset/nerf_llff_data/fortress_B/images/scen_3</t>
  </si>
  <si>
    <t>llff_fortress_c_scen_3</t>
  </si>
  <si>
    <t>IMG_1805.JPG
IMG_1820.JPG
IMG_1825.JPG
IMG_1835.JPG</t>
  </si>
  <si>
    <t>/home/kamil/dataset/nerf_llff_data/fortress_C/images/scen_3</t>
  </si>
  <si>
    <t>custom_gate_a_scen_2</t>
  </si>
  <si>
    <t>Custom</t>
  </si>
  <si>
    <t>gate</t>
  </si>
  <si>
    <t>Zewnętrzne</t>
  </si>
  <si>
    <t>IMG_8818.jpg
IMG_8826.jpg</t>
  </si>
  <si>
    <t>/home/kamil/dataset/custom/gate/images/scen_2</t>
  </si>
  <si>
    <t>custom_gate_b_scen_2</t>
  </si>
  <si>
    <t>IMG_8816.jpg
IMG_8829.jpg</t>
  </si>
  <si>
    <t>/home/kamil/dataset/custom/gate_B/images/scen_2</t>
  </si>
  <si>
    <t>custom_gate_c_scen_2</t>
  </si>
  <si>
    <t>IMG_8823.jpg
IMG_8824.jpg</t>
  </si>
  <si>
    <t>/home/kamil/dataset/custom/gate_C/images/scen_2</t>
  </si>
  <si>
    <t>custom_gate_a_scen_3</t>
  </si>
  <si>
    <t>IMG_8818.jpg
IMG_8823.jpg
IMG_8826.jpg
IMG_8829.jpg</t>
  </si>
  <si>
    <t>/home/kamil/dataset/custom/gate/images/scen_3</t>
  </si>
  <si>
    <t>custom_gate_b_scen_3</t>
  </si>
  <si>
    <t>IMG_8816.jpg
IMG_8822.jpg
IMG_8828.jpg
IMG_8829.jpg</t>
  </si>
  <si>
    <t>/home/kamil/dataset/custom/gate_B/images/scen_3</t>
  </si>
  <si>
    <t>custom_gate_c_scen_3</t>
  </si>
  <si>
    <t>IMG_8822.jpg
IMG_8823.jpg
IMG_8824.jpg
IMG_8826.jpg</t>
  </si>
  <si>
    <t>/home/kamil/dataset/custom/gate_C/images/scen_3</t>
  </si>
  <si>
    <t>eth3d_observatory_a_scen_2</t>
  </si>
  <si>
    <t>ETH3D</t>
  </si>
  <si>
    <t>observatory</t>
  </si>
  <si>
    <t>DSC_1009.JPG
DSC_1011.JPG</t>
  </si>
  <si>
    <t>/home/kamil/dataset/eth3d/observatory/images/scen_2</t>
  </si>
  <si>
    <t>eth3d_observatory_b_scen_2</t>
  </si>
  <si>
    <t>DSC_1008.JPG
DSC_1010.JPG</t>
  </si>
  <si>
    <t>/home/kamil/dataset/eth3d/observatory_B/images/scen_2</t>
  </si>
  <si>
    <t>eth3d_observatory_c_scen_2</t>
  </si>
  <si>
    <t>DSC_1007.JPG
DSC_1012.JPG</t>
  </si>
  <si>
    <t>/home/kamil/dataset/eth3d/observatory_C/images/scen_2</t>
  </si>
  <si>
    <t>eth3d_observatory_a_scen_3</t>
  </si>
  <si>
    <t>DSC_1007.JPG
DSC_1009.JPG
DSC_1011.JPG
DSC_1013.JPG</t>
  </si>
  <si>
    <t>/home/kamil/dataset/eth3d/observatory/images/scen_3</t>
  </si>
  <si>
    <t>eth3d_observatory_b_scen_3</t>
  </si>
  <si>
    <t>DSC_1008.JPG
DSC_1010.JPG
DSC_1012.JPG
DSC_1013.JPG</t>
  </si>
  <si>
    <t>/home/kamil/dataset/eth3d/observatory_B/images/scen_3</t>
  </si>
  <si>
    <t>eth3d_observatory_c_scen_3</t>
  </si>
  <si>
    <t>DSC_1007.JPG
DSC_1009.JPG
DSC_1012.JPG
DSC_1014.JPG</t>
  </si>
  <si>
    <t>/home/kamil/dataset/eth3d/observatory_C/images/scen_3</t>
  </si>
  <si>
    <t>custom_office_a_scen_2</t>
  </si>
  <si>
    <t>office</t>
  </si>
  <si>
    <t>Wewnętrzne</t>
  </si>
  <si>
    <t>IMG_9497.jpg
IMG_9499.jpg</t>
  </si>
  <si>
    <t>/home/kamil/dataset/custom/office/images/scen_2</t>
  </si>
  <si>
    <t>custom_office_b_scen_2</t>
  </si>
  <si>
    <t>IMG_9493.jpg
IMG_9495.jpg</t>
  </si>
  <si>
    <t>/home/kamil/dataset/custom/office_B/images/scen_2</t>
  </si>
  <si>
    <t>custom_office_c_scen_2</t>
  </si>
  <si>
    <t>/home/kamil/dataset/custom/office_C/images/scen_2</t>
  </si>
  <si>
    <t>custom_office_a_scen_3</t>
  </si>
  <si>
    <t>IMG_9493.jpg
IMG_9495.jpg
IMG_9497.jpg
IMG_9499.jpg</t>
  </si>
  <si>
    <t>/home/kamil/dataset/custom/office/images/scen_3</t>
  </si>
  <si>
    <t>custom_office_b_scen_3</t>
  </si>
  <si>
    <t>IMG_9493.jpg
IMG_9494.jpg
IMG_9495.jpg
IMG_9498.jpg</t>
  </si>
  <si>
    <t>/home/kamil/dataset/custom/office_B/images/scen_3</t>
  </si>
  <si>
    <t>custom_office_c_scen_3</t>
  </si>
  <si>
    <t>IMG_9492.jpg
IMG_9493.jpg
IMG_9494.jpg
IMG_9495.jpg</t>
  </si>
  <si>
    <t>/home/kamil/dataset/custom/office_C/images/scen_3</t>
  </si>
  <si>
    <t>eth3d_old_computer_a_scen_2</t>
  </si>
  <si>
    <t>old_computer</t>
  </si>
  <si>
    <t>DSC_1135.JPG
DSC_1139.JPG</t>
  </si>
  <si>
    <t>/home/kamil/dataset/eth3d/old_computer/images/scen_2</t>
  </si>
  <si>
    <t>eth3d_old_computer_b_scen_2</t>
  </si>
  <si>
    <t>DSC_1133.JPG
DSC_1140.JPG</t>
  </si>
  <si>
    <t>/home/kamil/dataset/eth3d/old_computer_B/images/scen_2</t>
  </si>
  <si>
    <t>eth3d_old_computer_c_scen_2</t>
  </si>
  <si>
    <t>DSC_1136.JPG
DSC_1137.JPG</t>
  </si>
  <si>
    <t>/home/kamil/dataset/eth3d/old_computer_C/images/scen_2</t>
  </si>
  <si>
    <t>eth3d_old_computer_a_scen_3</t>
  </si>
  <si>
    <t>DSC_1133.JPG
DSC_1135.JPG
DSC_1137.JPG
DSC_1139.JPG</t>
  </si>
  <si>
    <t>/home/kamil/dataset/eth3d/old_computer/images/scen_3</t>
  </si>
  <si>
    <t>eth3d_old_computer_b_scen_3</t>
  </si>
  <si>
    <t>DSC_1133.JPG
DSC_1134.JPG
DSC_1138.JPG
DSC_1140.JPG</t>
  </si>
  <si>
    <t>/home/kamil/dataset/eth3d/old_computer_B/images/scen_3</t>
  </si>
  <si>
    <t>eth3d_old_computer_c_scen_3</t>
  </si>
  <si>
    <t>DSC_1135.JPG
DSC_1136.JPG
DSC_1137.JPG
DSC_1138.JPG</t>
  </si>
  <si>
    <t>/home/kamil/dataset/eth3d/old_computer_C/images/scen_3</t>
  </si>
  <si>
    <t>llff_room_a_scen_2</t>
  </si>
  <si>
    <t>room</t>
  </si>
  <si>
    <t>DJI_20200226_143914_572.JPG
DJI_20200226_143948_113.JPG</t>
  </si>
  <si>
    <t>/home/kamil/dataset/nerf_llff_data/room/images/scen_2</t>
  </si>
  <si>
    <t>llff_room_b_scen_2</t>
  </si>
  <si>
    <t>DJI_20200226_143906_682.JPG
DJI_20200226_143942_875.JPG</t>
  </si>
  <si>
    <t>/home/kamil/dataset/nerf_llff_data/room_B/images/scen_2</t>
  </si>
  <si>
    <t>llff_room_c_scen_2</t>
  </si>
  <si>
    <t>DJI_20200226_143858_657.JPG
DJI_20200226_143935_646.JPG</t>
  </si>
  <si>
    <t>/home/kamil/dataset/nerf_llff_data/room_C/images/scen_2</t>
  </si>
  <si>
    <t>llff_room_a_scen_3</t>
  </si>
  <si>
    <t>DJI_20200226_143850_006.JPG
DJI_20200226_143906_682.JPG
DJI_20200226_143914_572.JPG
DJI_20200226_143948_113.JPG</t>
  </si>
  <si>
    <t>/home/kamil/dataset/nerf_llff_data/room/images/scen_3</t>
  </si>
  <si>
    <t>llff_room_b_scen_3</t>
  </si>
  <si>
    <t>DJI_20200226_143858_657.JPG
DJI_20200226_143906_682.JPG
DJI_20200226_143926_241.JPG
DJI_20200226_143942_875.JPG</t>
  </si>
  <si>
    <t>/home/kamil/dataset/nerf_llff_data/room_B/images/scen_3</t>
  </si>
  <si>
    <t>llff_room_c_scen_3</t>
  </si>
  <si>
    <t>DJI_20200226_143858_657.JPG
DJI_20200226_143926_241.JPG
DJI_20200226_143935_646.JPG
DJI_20200226_143948_113.JPG</t>
  </si>
  <si>
    <t>/home/kamil/dataset/nerf_llff_data/room_C/images/scen_3</t>
  </si>
  <si>
    <t>custom_spqr_a_scen_2</t>
  </si>
  <si>
    <t>spqr</t>
  </si>
  <si>
    <t>IMG_8997.jpg
IMG_9004.jpg</t>
  </si>
  <si>
    <t>/home/kamil/dataset/custom/spqr/images/scen_2</t>
  </si>
  <si>
    <t>custom_spqr_b_scen_2</t>
  </si>
  <si>
    <t>IMG_8998.jpg
IMG_9003.jpg</t>
  </si>
  <si>
    <t>/home/kamil/dataset/custom/spqr_B/images/scen_2</t>
  </si>
  <si>
    <t>custom_spqr_c_scen_2</t>
  </si>
  <si>
    <t>IMG_8996.jpg
IMG_9001.jpg</t>
  </si>
  <si>
    <t>/home/kamil/dataset/custom/spqr_C/images/scen_2</t>
  </si>
  <si>
    <t>custom_spqr_a_scen_3</t>
  </si>
  <si>
    <t>IMG_8997.jpg
IMG_8999.jpg
IMG_9002.jpg
IMG_9004.jpg</t>
  </si>
  <si>
    <t>/home/kamil/dataset/custom/spqr/images/scen_3</t>
  </si>
  <si>
    <t>custom_spqr_b_scen_3</t>
  </si>
  <si>
    <t>IMG_8998.jpg
IMG_8999.jpg
IMG_9003.jpg
IMG_9004.jpg</t>
  </si>
  <si>
    <t>/home/kamil/dataset/custom/spqr_B/images/scen_3</t>
  </si>
  <si>
    <t>custom_spqr_c_scen_3</t>
  </si>
  <si>
    <t>IMG_8996.jpg
IMG_8997.jpg
IMG_9001.jpg
IMG_9004.jpg</t>
  </si>
  <si>
    <t>/home/kamil/dataset/custom/spqr_C/images/scen_3</t>
  </si>
  <si>
    <t>eth3d_terrace_2_a_scen_2</t>
  </si>
  <si>
    <t>terrace_2</t>
  </si>
  <si>
    <t>DSC_1461.JPG
DSC_1465.JPG</t>
  </si>
  <si>
    <t>/home/kamil/dataset/eth3d/terrace_2/images/scen_2</t>
  </si>
  <si>
    <t>eth3d_terrace_2_b_scen_2</t>
  </si>
  <si>
    <t>DSC_1460.JPG
DSC_1471.JPG</t>
  </si>
  <si>
    <t>/home/kamil/dataset/eth3d/terrace_2_B/images/scen_2</t>
  </si>
  <si>
    <t>eth3d_terrace_2_c_scen_2</t>
  </si>
  <si>
    <t>DSC_1463.JPG
DSC_1466.JPG</t>
  </si>
  <si>
    <t>/home/kamil/dataset/eth3d/terrace_2_C/images/scen_2</t>
  </si>
  <si>
    <t>eth3d_terrace_2_a_scen_3</t>
  </si>
  <si>
    <t>DSC_1460.JPG
DSC_1461.JPG
DSC_1465.JPG
DSC_1470.JPG</t>
  </si>
  <si>
    <t>/home/kamil/dataset/eth3d/terrace_2/images/scen_3</t>
  </si>
  <si>
    <t>eth3d_terrace_2_b_scen_3</t>
  </si>
  <si>
    <t>DSC_1460.JPG
DSC_1462.JPG
DSC_1463.JPG
DSC_1471.JPG</t>
  </si>
  <si>
    <t>/home/kamil/dataset/eth3d/terrace_2_B/images/scen_3</t>
  </si>
  <si>
    <t>eth3d_terrace_2_c_scen_3</t>
  </si>
  <si>
    <t>DSC_1460.JPG
DSC_1463.JPG
DSC_1466.JPG
DSC_1470.JPG</t>
  </si>
  <si>
    <t>/home/kamil/dataset/eth3d/terrace_2_C/images/scen_3</t>
  </si>
  <si>
    <t>llff_trex_a_scen_2</t>
  </si>
  <si>
    <t>trex</t>
  </si>
  <si>
    <t>DJI_20200223_163548_810.jpg
DJI_20200223_163639_916.jpg</t>
  </si>
  <si>
    <t>/home/kamil/dataset/nerf_llff_data/trex/images/scen_2</t>
  </si>
  <si>
    <t>llff_trex_b_scen_2</t>
  </si>
  <si>
    <t>DJI_20200223_163604_605.jpg
DJI_20200223_163646_755.jpg</t>
  </si>
  <si>
    <t>/home/kamil/dataset/nerf_llff_data/trex_B/images/scen_2</t>
  </si>
  <si>
    <t>llff_trex_c_scen_2</t>
  </si>
  <si>
    <t>DJI_20200223_163557_660.jpg
DJI_20200223_163639_916.jpg</t>
  </si>
  <si>
    <t>/home/kamil/dataset/nerf_llff_data/trex_C/images/scen_2</t>
  </si>
  <si>
    <t>llff_trex_a_scen_3</t>
  </si>
  <si>
    <t>DJI_20200223_163548_810.jpg
DJI_20200223_163604_605.jpg
DJI_20200223_163639_916.jpg
DJI_20200223_163654_571.jpg</t>
  </si>
  <si>
    <t>/home/kamil/dataset/nerf_llff_data/trex/images/scen_3</t>
  </si>
  <si>
    <t>llff_trex_b_scen_3</t>
  </si>
  <si>
    <t>DJI_20200223_163548_810.jpg
DJI_20200223_163604_605.jpg
DJI_20200223_163620_700.jpg
DJI_20200223_163646_755.jpg</t>
  </si>
  <si>
    <t>/home/kamil/dataset/nerf_llff_data/trex_B/images/scen_3</t>
  </si>
  <si>
    <t>llff_trex_c_scen_3</t>
  </si>
  <si>
    <t>DJI_20200223_163557_660.jpg
DJI_20200223_163604_605.jpg
DJI_20200223_163639_916.jpg
DJI_20200223_163654_571.jpg</t>
  </si>
  <si>
    <t>/home/kamil/dataset/nerf_llff_data/trex_C/images/scen_3</t>
  </si>
  <si>
    <t>Skala punktowa 0–3</t>
  </si>
  <si>
    <t>Kryterium</t>
  </si>
  <si>
    <t>0 pkt</t>
  </si>
  <si>
    <t>1 pkt</t>
  </si>
  <si>
    <t>2 pkt</t>
  </si>
  <si>
    <t>3 pkt</t>
  </si>
  <si>
    <t>C – kompletność rekonstrukcji</t>
  </si>
  <si>
    <t>Brak użytecznej rekonstrukcji albo jedynie pojedyncze, niepowiązane fragmenty.</t>
  </si>
  <si>
    <t>Zrekonstruowano niewielką część sceny; duże braki względem obrazów wejściowych.</t>
  </si>
  <si>
    <t>Większość istotnych elementów jest obecna, ale występują zauważalne braki.</t>
  </si>
  <si>
    <t>Rekonstrukcja obejmuje praktycznie wszystkie istotne elementy widoczne na obrazach.</t>
  </si>
  <si>
    <t>G – spójność geometryczna</t>
  </si>
  <si>
    <t>Nie można zidentyfikować spójnej struktury przestrzennej sceny.</t>
  </si>
  <si>
    <t>Poważne deformacje, przesunięcia, rozwarstwienia lub błędne położenie elementów.</t>
  </si>
  <si>
    <t>Ogólna geometria jest poprawna, ale występują lokalne deformacje albo niespójności.</t>
  </si>
  <si>
    <t>Położenie elementów, proporcje i lokalna geometria są wizualnie spójne ze źródłami.</t>
  </si>
  <si>
    <t>A – artefakty i szum</t>
  </si>
  <si>
    <t>Artefakty dominują nad rekonstrukcją i uniemożliwiają jej interpretację.</t>
  </si>
  <si>
    <t>Liczne punkty odstające, duchy, rozwarstwienia, duplikaty lub inne poważne artefakty.</t>
  </si>
  <si>
    <t>Artefakty są widoczne, ale nie uniemożliwiają interpretacji sceny.</t>
  </si>
  <si>
    <t>Artefakty są nieliczne i mają marginalny wpływ na odbiór rekonstrukcji.</t>
  </si>
  <si>
    <t>Podstawowa struktura sceny jest nierozpoznawalna.</t>
  </si>
  <si>
    <t>Rozpoznawalne są jedynie główne bryły lub najbardziej ogólna struktura.</t>
  </si>
  <si>
    <t>Poprawnie odwzorowano główne elementy oraz część drobniejszych szczegółów.</t>
  </si>
  <si>
    <t>Dobrze zachowano zarówno główne struktury, jak i drobniejsze elementy sceny.</t>
  </si>
  <si>
    <t>Q = C + G + A + D, dlatego Q ∈ [0, 12].</t>
  </si>
  <si>
    <t>Automatyczne podsumowanie wariantów</t>
  </si>
  <si>
    <t>Scenariusz</t>
  </si>
  <si>
    <t>Liczba obrazów</t>
  </si>
  <si>
    <t>Liczba przypadków</t>
  </si>
  <si>
    <t>Ocenione / kompletne</t>
  </si>
  <si>
    <t>Postęp</t>
  </si>
  <si>
    <t>Mediana Q</t>
  </si>
  <si>
    <t>Średnia Q</t>
  </si>
  <si>
    <t>Mediana C</t>
  </si>
  <si>
    <t>Średnia C</t>
  </si>
  <si>
    <t>Mediana G</t>
  </si>
  <si>
    <t>Średnia G</t>
  </si>
  <si>
    <t>Mediana A</t>
  </si>
  <si>
    <t>Średnia A</t>
  </si>
  <si>
    <t>Mediana D</t>
  </si>
  <si>
    <t>Średnia D</t>
  </si>
  <si>
    <t>Min Q</t>
  </si>
  <si>
    <t>Max Q</t>
  </si>
  <si>
    <t>Niepowodzenia (Q=0)</t>
  </si>
  <si>
    <t>Udział niepowodzeń</t>
  </si>
  <si>
    <t>Wariant a ma skopiowane wyniki. Warianty b i c uzupełniają statystyki po wpisaniu czterech ocen.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</si>
</sst>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color rgb="FFFFFFFF"/>
      <name val="Calibri"/>
    </font>
    <font>
      <b/>
      <sz val="11"/>
      <color rgb="FF17365D"/>
      <name val="Calibri"/>
    </font>
    <font>
      <u/>
      <sz val="10"/>
      <color rgb="FF0563C1"/>
      <name val="Calibri"/>
    </font>
    <font>
      <sz val="10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ny" xfId="0" builtinId="0"/>
  </cellStyles>
  <dxfs count="1">
    <dxf>
      <font>
        <color rgb="FF9C0006"/>
      </font>
      <fill>
        <patternFill patternType="solid">
          <fgColor rgb="FFFFC7CE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3"/>
  <sheetViews>
    <sheetView showGridLines="0" zoomScale="85" zoomScaleNormal="85" workbookViewId="0">
      <pane xSplit="8" ySplit="1" topLeftCell="K141" activePane="bottomRight" state="frozen"/>
      <selection pane="topRight"/>
      <selection pane="bottomLeft"/>
      <selection pane="bottomRight" activeCell="O159" sqref="O159"/>
    </sheetView>
  </sheetViews>
  <sheetFormatPr defaultRowHeight="15" x14ac:dyDescent="0.25"/>
  <cols>
    <col min="1" max="1" width="6" customWidth="1"/>
    <col min="2" max="2" width="22.42578125" customWidth="1"/>
    <col min="3" max="3" width="11" customWidth="1"/>
    <col min="4" max="4" width="13.85546875" customWidth="1"/>
    <col min="5" max="5" width="16" customWidth="1"/>
    <col min="6" max="6" width="9" customWidth="1"/>
    <col min="7" max="7" width="12.5703125" customWidth="1"/>
    <col min="8" max="8" width="14" customWidth="1"/>
    <col min="9" max="9" width="52" customWidth="1"/>
    <col min="10" max="10" width="30" customWidth="1"/>
    <col min="11" max="11" width="28" customWidth="1"/>
    <col min="12" max="14" width="14" customWidth="1"/>
    <col min="15" max="15" width="18" customWidth="1"/>
    <col min="16" max="16" width="10" customWidth="1"/>
    <col min="17" max="17" width="48" customWidth="1"/>
    <col min="18" max="18" width="24" customWidth="1"/>
    <col min="19" max="19" width="42" hidden="1" customWidth="1"/>
  </cols>
  <sheetData>
    <row r="1" spans="1:19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3.950000000000003" customHeight="1" x14ac:dyDescent="0.25">
      <c r="A2" s="10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10" t="s">
        <v>23</v>
      </c>
      <c r="G2" s="10">
        <v>2</v>
      </c>
      <c r="H2" s="2" t="s">
        <v>24</v>
      </c>
      <c r="I2" s="7" t="str">
        <f>HYPERLINK("vggt/outputs/llff_fortress_scen_2/reconstruction.glb","vggt/outputs/llff_fortress_scen_2/reconstruction.glb")</f>
        <v>vggt/outputs/llff_fortress_scen_2/reconstruction.glb</v>
      </c>
      <c r="J2" s="6" t="s">
        <v>25</v>
      </c>
      <c r="K2" s="3" t="s">
        <v>26</v>
      </c>
      <c r="L2" s="3">
        <v>1</v>
      </c>
      <c r="M2" s="3">
        <v>1</v>
      </c>
      <c r="N2" s="3">
        <v>2</v>
      </c>
      <c r="O2" s="3">
        <v>1</v>
      </c>
      <c r="P2" s="4">
        <f t="shared" ref="P2:P33" si="0">IF($K2="Niepowodzenie rekonstrukcji",0,IF(COUNT($L2:$O2)=4,SUM($L2:$O2),""))</f>
        <v>5</v>
      </c>
      <c r="Q2" s="3" t="s">
        <v>27</v>
      </c>
      <c r="R2" s="6" t="str">
        <f t="shared" ref="R2:R33" si="1">IF($K2="Niepowodzenie rekonstrukcji",IF(COUNTIF($L2:$O2,0)=4,"OK","Ustaw C, G, A, D = 0"),IF(COUNT($L2:$O2)=0,"Nieoceniony",IF(COUNT($L2:$O2)=4,"OK","Uzupełnij oceny")))</f>
        <v>OK</v>
      </c>
      <c r="S2" s="6" t="s">
        <v>28</v>
      </c>
    </row>
    <row r="3" spans="1:19" ht="33.950000000000003" customHeight="1" x14ac:dyDescent="0.25">
      <c r="A3" s="10">
        <v>2</v>
      </c>
      <c r="B3" s="2" t="s">
        <v>29</v>
      </c>
      <c r="C3" s="2" t="s">
        <v>20</v>
      </c>
      <c r="D3" s="2" t="s">
        <v>21</v>
      </c>
      <c r="E3" s="2" t="s">
        <v>22</v>
      </c>
      <c r="F3" s="10" t="s">
        <v>30</v>
      </c>
      <c r="G3" s="10">
        <v>2</v>
      </c>
      <c r="H3" s="2" t="s">
        <v>24</v>
      </c>
      <c r="I3" s="7" t="str">
        <f>HYPERLINK("vggt/outputs_extras/llff_fortress_b_scen_2/reconstruction.glb","vggt/outputs_extras/llff_fortress_b_scen_2/reconstruction.glb")</f>
        <v>vggt/outputs_extras/llff_fortress_b_scen_2/reconstruction.glb</v>
      </c>
      <c r="J3" s="6" t="s">
        <v>31</v>
      </c>
      <c r="K3" s="3" t="s">
        <v>32</v>
      </c>
      <c r="L3" s="3">
        <v>1</v>
      </c>
      <c r="M3" s="3">
        <v>1</v>
      </c>
      <c r="N3" s="3">
        <v>2</v>
      </c>
      <c r="O3" s="3">
        <v>1</v>
      </c>
      <c r="P3" s="4">
        <f t="shared" si="0"/>
        <v>5</v>
      </c>
      <c r="Q3" s="3" t="s">
        <v>27</v>
      </c>
      <c r="R3" s="6" t="str">
        <f t="shared" si="1"/>
        <v>OK</v>
      </c>
      <c r="S3" s="6" t="s">
        <v>33</v>
      </c>
    </row>
    <row r="4" spans="1:19" ht="33.950000000000003" customHeight="1" x14ac:dyDescent="0.25">
      <c r="A4" s="10">
        <v>3</v>
      </c>
      <c r="B4" s="2" t="s">
        <v>34</v>
      </c>
      <c r="C4" s="2" t="s">
        <v>20</v>
      </c>
      <c r="D4" s="2" t="s">
        <v>21</v>
      </c>
      <c r="E4" s="2" t="s">
        <v>22</v>
      </c>
      <c r="F4" s="10" t="s">
        <v>35</v>
      </c>
      <c r="G4" s="10">
        <v>2</v>
      </c>
      <c r="H4" s="2" t="s">
        <v>24</v>
      </c>
      <c r="I4" s="7" t="str">
        <f>HYPERLINK("vggt/outputs_extras/llff_fortress_c_scen_2/reconstruction.glb","vggt/outputs_extras/llff_fortress_c_scen_2/reconstruction.glb")</f>
        <v>vggt/outputs_extras/llff_fortress_c_scen_2/reconstruction.glb</v>
      </c>
      <c r="J4" s="6" t="s">
        <v>36</v>
      </c>
      <c r="K4" s="3" t="s">
        <v>32</v>
      </c>
      <c r="L4" s="3">
        <v>1</v>
      </c>
      <c r="M4" s="3">
        <v>1</v>
      </c>
      <c r="N4" s="3">
        <v>2</v>
      </c>
      <c r="O4" s="3">
        <v>1</v>
      </c>
      <c r="P4" s="4">
        <f t="shared" si="0"/>
        <v>5</v>
      </c>
      <c r="Q4" s="3" t="s">
        <v>27</v>
      </c>
      <c r="R4" s="6" t="str">
        <f t="shared" si="1"/>
        <v>OK</v>
      </c>
      <c r="S4" s="6" t="s">
        <v>37</v>
      </c>
    </row>
    <row r="5" spans="1:19" ht="33.950000000000003" customHeight="1" x14ac:dyDescent="0.25">
      <c r="A5" s="10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10" t="s">
        <v>23</v>
      </c>
      <c r="G5" s="10">
        <v>2</v>
      </c>
      <c r="H5" s="2" t="s">
        <v>38</v>
      </c>
      <c r="I5" s="7" t="str">
        <f>HYPERLINK("mast3r/outputs/llff_fortress_scen_2/reconstruction.glb","mast3r/outputs/llff_fortress_scen_2/reconstruction.glb")</f>
        <v>mast3r/outputs/llff_fortress_scen_2/reconstruction.glb</v>
      </c>
      <c r="J5" s="6" t="s">
        <v>25</v>
      </c>
      <c r="K5" s="3" t="s">
        <v>26</v>
      </c>
      <c r="L5" s="3">
        <v>1</v>
      </c>
      <c r="M5" s="3">
        <v>1</v>
      </c>
      <c r="N5" s="3">
        <v>3</v>
      </c>
      <c r="O5" s="3">
        <v>1</v>
      </c>
      <c r="P5" s="4">
        <f t="shared" si="0"/>
        <v>6</v>
      </c>
      <c r="Q5" s="3" t="s">
        <v>27</v>
      </c>
      <c r="R5" s="6" t="str">
        <f t="shared" si="1"/>
        <v>OK</v>
      </c>
      <c r="S5" s="6" t="s">
        <v>28</v>
      </c>
    </row>
    <row r="6" spans="1:19" ht="33.950000000000003" customHeight="1" x14ac:dyDescent="0.25">
      <c r="A6" s="10">
        <v>5</v>
      </c>
      <c r="B6" s="2" t="s">
        <v>29</v>
      </c>
      <c r="C6" s="2" t="s">
        <v>20</v>
      </c>
      <c r="D6" s="2" t="s">
        <v>21</v>
      </c>
      <c r="E6" s="2" t="s">
        <v>22</v>
      </c>
      <c r="F6" s="10" t="s">
        <v>30</v>
      </c>
      <c r="G6" s="10">
        <v>2</v>
      </c>
      <c r="H6" s="2" t="s">
        <v>38</v>
      </c>
      <c r="I6" s="7" t="str">
        <f>HYPERLINK("mast3r/outputs_extras/llff_fortress_b_scen_2/reconstruction.glb","mast3r/outputs_extras/llff_fortress_b_scen_2/reconstruction.glb")</f>
        <v>mast3r/outputs_extras/llff_fortress_b_scen_2/reconstruction.glb</v>
      </c>
      <c r="J6" s="6" t="s">
        <v>31</v>
      </c>
      <c r="K6" s="3" t="s">
        <v>32</v>
      </c>
      <c r="L6" s="3">
        <v>1</v>
      </c>
      <c r="M6" s="3">
        <v>1</v>
      </c>
      <c r="N6" s="3">
        <v>3</v>
      </c>
      <c r="O6" s="3">
        <v>1</v>
      </c>
      <c r="P6" s="4">
        <f t="shared" si="0"/>
        <v>6</v>
      </c>
      <c r="Q6" s="3" t="s">
        <v>27</v>
      </c>
      <c r="R6" s="6" t="str">
        <f t="shared" si="1"/>
        <v>OK</v>
      </c>
      <c r="S6" s="6" t="s">
        <v>33</v>
      </c>
    </row>
    <row r="7" spans="1:19" ht="33.950000000000003" customHeight="1" x14ac:dyDescent="0.25">
      <c r="A7" s="10">
        <v>6</v>
      </c>
      <c r="B7" s="2" t="s">
        <v>34</v>
      </c>
      <c r="C7" s="2" t="s">
        <v>20</v>
      </c>
      <c r="D7" s="2" t="s">
        <v>21</v>
      </c>
      <c r="E7" s="2" t="s">
        <v>22</v>
      </c>
      <c r="F7" s="10" t="s">
        <v>35</v>
      </c>
      <c r="G7" s="10">
        <v>2</v>
      </c>
      <c r="H7" s="2" t="s">
        <v>38</v>
      </c>
      <c r="I7" s="7" t="str">
        <f>HYPERLINK("mast3r/outputs_extras/llff_fortress_c_scen_2/reconstruction.glb","mast3r/outputs_extras/llff_fortress_c_scen_2/reconstruction.glb")</f>
        <v>mast3r/outputs_extras/llff_fortress_c_scen_2/reconstruction.glb</v>
      </c>
      <c r="J7" s="6" t="s">
        <v>36</v>
      </c>
      <c r="K7" s="3" t="s">
        <v>32</v>
      </c>
      <c r="L7" s="3">
        <v>1</v>
      </c>
      <c r="M7" s="3">
        <v>1</v>
      </c>
      <c r="N7" s="3">
        <v>3</v>
      </c>
      <c r="O7" s="3">
        <v>1</v>
      </c>
      <c r="P7" s="4">
        <f t="shared" si="0"/>
        <v>6</v>
      </c>
      <c r="Q7" s="3" t="s">
        <v>27</v>
      </c>
      <c r="R7" s="6" t="str">
        <f t="shared" si="1"/>
        <v>OK</v>
      </c>
      <c r="S7" s="6" t="s">
        <v>37</v>
      </c>
    </row>
    <row r="8" spans="1:19" ht="33.950000000000003" customHeight="1" x14ac:dyDescent="0.25">
      <c r="A8" s="10">
        <v>7</v>
      </c>
      <c r="B8" s="2" t="s">
        <v>19</v>
      </c>
      <c r="C8" s="2" t="s">
        <v>20</v>
      </c>
      <c r="D8" s="2" t="s">
        <v>21</v>
      </c>
      <c r="E8" s="2" t="s">
        <v>22</v>
      </c>
      <c r="F8" s="10" t="s">
        <v>23</v>
      </c>
      <c r="G8" s="10">
        <v>2</v>
      </c>
      <c r="H8" s="2" t="s">
        <v>39</v>
      </c>
      <c r="I8" s="7" t="str">
        <f>HYPERLINK("mapany/outputs/llff_fortress_scen_2/reconstruction.glb","mapany/outputs/llff_fortress_scen_2/reconstruction.glb")</f>
        <v>mapany/outputs/llff_fortress_scen_2/reconstruction.glb</v>
      </c>
      <c r="J8" s="6" t="s">
        <v>25</v>
      </c>
      <c r="K8" s="3" t="s">
        <v>26</v>
      </c>
      <c r="L8" s="3">
        <v>2</v>
      </c>
      <c r="M8" s="3">
        <v>1</v>
      </c>
      <c r="N8" s="3">
        <v>3</v>
      </c>
      <c r="O8" s="3">
        <v>1</v>
      </c>
      <c r="P8" s="4">
        <f t="shared" si="0"/>
        <v>7</v>
      </c>
      <c r="Q8" s="3" t="s">
        <v>27</v>
      </c>
      <c r="R8" s="6" t="str">
        <f t="shared" si="1"/>
        <v>OK</v>
      </c>
      <c r="S8" s="6" t="s">
        <v>28</v>
      </c>
    </row>
    <row r="9" spans="1:19" ht="33.950000000000003" customHeight="1" x14ac:dyDescent="0.25">
      <c r="A9" s="10">
        <v>8</v>
      </c>
      <c r="B9" s="2" t="s">
        <v>29</v>
      </c>
      <c r="C9" s="2" t="s">
        <v>20</v>
      </c>
      <c r="D9" s="2" t="s">
        <v>21</v>
      </c>
      <c r="E9" s="2" t="s">
        <v>22</v>
      </c>
      <c r="F9" s="10" t="s">
        <v>30</v>
      </c>
      <c r="G9" s="10">
        <v>2</v>
      </c>
      <c r="H9" s="2" t="s">
        <v>39</v>
      </c>
      <c r="I9" s="7" t="str">
        <f>HYPERLINK("mapany/outputs_extras/llff_fortress_b_scen_2/reconstruction.glb","mapany/outputs_extras/llff_fortress_b_scen_2/reconstruction.glb")</f>
        <v>mapany/outputs_extras/llff_fortress_b_scen_2/reconstruction.glb</v>
      </c>
      <c r="J9" s="6" t="s">
        <v>31</v>
      </c>
      <c r="K9" s="3" t="s">
        <v>32</v>
      </c>
      <c r="L9" s="3">
        <v>2</v>
      </c>
      <c r="M9" s="3">
        <v>1</v>
      </c>
      <c r="N9" s="3">
        <v>3</v>
      </c>
      <c r="O9" s="3">
        <v>1</v>
      </c>
      <c r="P9" s="4">
        <f t="shared" si="0"/>
        <v>7</v>
      </c>
      <c r="Q9" s="3" t="s">
        <v>27</v>
      </c>
      <c r="R9" s="6" t="str">
        <f t="shared" si="1"/>
        <v>OK</v>
      </c>
      <c r="S9" s="6" t="s">
        <v>33</v>
      </c>
    </row>
    <row r="10" spans="1:19" ht="33.950000000000003" customHeight="1" x14ac:dyDescent="0.25">
      <c r="A10" s="10">
        <v>9</v>
      </c>
      <c r="B10" s="2" t="s">
        <v>34</v>
      </c>
      <c r="C10" s="2" t="s">
        <v>20</v>
      </c>
      <c r="D10" s="2" t="s">
        <v>21</v>
      </c>
      <c r="E10" s="2" t="s">
        <v>22</v>
      </c>
      <c r="F10" s="10" t="s">
        <v>35</v>
      </c>
      <c r="G10" s="10">
        <v>2</v>
      </c>
      <c r="H10" s="2" t="s">
        <v>39</v>
      </c>
      <c r="I10" s="7" t="str">
        <f>HYPERLINK("mapany/outputs_extras/llff_fortress_c_scen_2/reconstruction.glb","mapany/outputs_extras/llff_fortress_c_scen_2/reconstruction.glb")</f>
        <v>mapany/outputs_extras/llff_fortress_c_scen_2/reconstruction.glb</v>
      </c>
      <c r="J10" s="6" t="s">
        <v>36</v>
      </c>
      <c r="K10" s="3" t="s">
        <v>32</v>
      </c>
      <c r="L10" s="3">
        <v>2</v>
      </c>
      <c r="M10" s="3">
        <v>1</v>
      </c>
      <c r="N10" s="3">
        <v>3</v>
      </c>
      <c r="O10" s="3">
        <v>1</v>
      </c>
      <c r="P10" s="4">
        <f t="shared" si="0"/>
        <v>7</v>
      </c>
      <c r="Q10" s="3" t="s">
        <v>27</v>
      </c>
      <c r="R10" s="6" t="str">
        <f t="shared" si="1"/>
        <v>OK</v>
      </c>
      <c r="S10" s="6" t="s">
        <v>37</v>
      </c>
    </row>
    <row r="11" spans="1:19" ht="33.950000000000003" customHeight="1" x14ac:dyDescent="0.25">
      <c r="A11" s="10">
        <v>10</v>
      </c>
      <c r="B11" s="2" t="s">
        <v>40</v>
      </c>
      <c r="C11" s="2" t="s">
        <v>20</v>
      </c>
      <c r="D11" s="2" t="s">
        <v>21</v>
      </c>
      <c r="E11" s="2" t="s">
        <v>22</v>
      </c>
      <c r="F11" s="10" t="s">
        <v>23</v>
      </c>
      <c r="G11" s="10">
        <v>4</v>
      </c>
      <c r="H11" s="2" t="s">
        <v>24</v>
      </c>
      <c r="I11" s="7" t="str">
        <f>HYPERLINK("vggt/outputs/llff_fortress_scen_3/reconstruction.glb","vggt/outputs/llff_fortress_scen_3/reconstruction.glb")</f>
        <v>vggt/outputs/llff_fortress_scen_3/reconstruction.glb</v>
      </c>
      <c r="J11" s="6" t="s">
        <v>41</v>
      </c>
      <c r="K11" s="3" t="s">
        <v>26</v>
      </c>
      <c r="L11" s="3">
        <v>1</v>
      </c>
      <c r="M11" s="3">
        <v>2</v>
      </c>
      <c r="N11" s="3">
        <v>3</v>
      </c>
      <c r="O11" s="3">
        <v>1</v>
      </c>
      <c r="P11" s="4">
        <f t="shared" si="0"/>
        <v>7</v>
      </c>
      <c r="Q11" s="3" t="s">
        <v>27</v>
      </c>
      <c r="R11" s="6" t="str">
        <f t="shared" si="1"/>
        <v>OK</v>
      </c>
      <c r="S11" s="6" t="s">
        <v>42</v>
      </c>
    </row>
    <row r="12" spans="1:19" ht="33.950000000000003" customHeight="1" x14ac:dyDescent="0.25">
      <c r="A12" s="10">
        <v>11</v>
      </c>
      <c r="B12" s="2" t="s">
        <v>43</v>
      </c>
      <c r="C12" s="2" t="s">
        <v>20</v>
      </c>
      <c r="D12" s="2" t="s">
        <v>21</v>
      </c>
      <c r="E12" s="2" t="s">
        <v>22</v>
      </c>
      <c r="F12" s="10" t="s">
        <v>30</v>
      </c>
      <c r="G12" s="10">
        <v>4</v>
      </c>
      <c r="H12" s="2" t="s">
        <v>24</v>
      </c>
      <c r="I12" s="7" t="str">
        <f>HYPERLINK("vggt/outputs_extras/llff_fortress_b_scen_3/reconstruction.glb","vggt/outputs_extras/llff_fortress_b_scen_3/reconstruction.glb")</f>
        <v>vggt/outputs_extras/llff_fortress_b_scen_3/reconstruction.glb</v>
      </c>
      <c r="J12" s="6" t="s">
        <v>44</v>
      </c>
      <c r="K12" s="3" t="s">
        <v>32</v>
      </c>
      <c r="L12" s="3">
        <v>1</v>
      </c>
      <c r="M12" s="3">
        <v>2</v>
      </c>
      <c r="N12" s="3">
        <v>3</v>
      </c>
      <c r="O12" s="3">
        <v>1</v>
      </c>
      <c r="P12" s="4">
        <f t="shared" si="0"/>
        <v>7</v>
      </c>
      <c r="Q12" s="3" t="s">
        <v>27</v>
      </c>
      <c r="R12" s="6" t="str">
        <f t="shared" si="1"/>
        <v>OK</v>
      </c>
      <c r="S12" s="6" t="s">
        <v>45</v>
      </c>
    </row>
    <row r="13" spans="1:19" ht="33.950000000000003" customHeight="1" x14ac:dyDescent="0.25">
      <c r="A13" s="10">
        <v>12</v>
      </c>
      <c r="B13" s="2" t="s">
        <v>46</v>
      </c>
      <c r="C13" s="2" t="s">
        <v>20</v>
      </c>
      <c r="D13" s="2" t="s">
        <v>21</v>
      </c>
      <c r="E13" s="2" t="s">
        <v>22</v>
      </c>
      <c r="F13" s="10" t="s">
        <v>35</v>
      </c>
      <c r="G13" s="10">
        <v>4</v>
      </c>
      <c r="H13" s="2" t="s">
        <v>24</v>
      </c>
      <c r="I13" s="7" t="str">
        <f>HYPERLINK("vggt/outputs_extras/llff_fortress_c_scen_3/reconstruction.glb","vggt/outputs_extras/llff_fortress_c_scen_3/reconstruction.glb")</f>
        <v>vggt/outputs_extras/llff_fortress_c_scen_3/reconstruction.glb</v>
      </c>
      <c r="J13" s="6" t="s">
        <v>47</v>
      </c>
      <c r="K13" s="3" t="s">
        <v>32</v>
      </c>
      <c r="L13" s="3">
        <v>1</v>
      </c>
      <c r="M13" s="3">
        <v>2</v>
      </c>
      <c r="N13" s="3">
        <v>3</v>
      </c>
      <c r="O13" s="3">
        <v>1</v>
      </c>
      <c r="P13" s="4">
        <f t="shared" si="0"/>
        <v>7</v>
      </c>
      <c r="Q13" s="3" t="s">
        <v>27</v>
      </c>
      <c r="R13" s="6" t="str">
        <f t="shared" si="1"/>
        <v>OK</v>
      </c>
      <c r="S13" s="6" t="s">
        <v>48</v>
      </c>
    </row>
    <row r="14" spans="1:19" ht="33.950000000000003" customHeight="1" x14ac:dyDescent="0.25">
      <c r="A14" s="10">
        <v>13</v>
      </c>
      <c r="B14" s="2" t="s">
        <v>40</v>
      </c>
      <c r="C14" s="2" t="s">
        <v>20</v>
      </c>
      <c r="D14" s="2" t="s">
        <v>21</v>
      </c>
      <c r="E14" s="2" t="s">
        <v>22</v>
      </c>
      <c r="F14" s="10" t="s">
        <v>23</v>
      </c>
      <c r="G14" s="10">
        <v>4</v>
      </c>
      <c r="H14" s="2" t="s">
        <v>38</v>
      </c>
      <c r="I14" s="7" t="str">
        <f>HYPERLINK("mast3r/outputs/llff_fortress_scen_3/reconstruction.glb","mast3r/outputs/llff_fortress_scen_3/reconstruction.glb")</f>
        <v>mast3r/outputs/llff_fortress_scen_3/reconstruction.glb</v>
      </c>
      <c r="J14" s="6" t="s">
        <v>41</v>
      </c>
      <c r="K14" s="3" t="s">
        <v>26</v>
      </c>
      <c r="L14" s="3">
        <v>1</v>
      </c>
      <c r="M14" s="3">
        <v>1</v>
      </c>
      <c r="N14" s="3">
        <v>3</v>
      </c>
      <c r="O14" s="3">
        <v>1</v>
      </c>
      <c r="P14" s="4">
        <f t="shared" si="0"/>
        <v>6</v>
      </c>
      <c r="Q14" s="3" t="s">
        <v>27</v>
      </c>
      <c r="R14" s="6" t="str">
        <f t="shared" si="1"/>
        <v>OK</v>
      </c>
      <c r="S14" s="6" t="s">
        <v>42</v>
      </c>
    </row>
    <row r="15" spans="1:19" ht="33.950000000000003" customHeight="1" x14ac:dyDescent="0.25">
      <c r="A15" s="10">
        <v>14</v>
      </c>
      <c r="B15" s="2" t="s">
        <v>43</v>
      </c>
      <c r="C15" s="2" t="s">
        <v>20</v>
      </c>
      <c r="D15" s="2" t="s">
        <v>21</v>
      </c>
      <c r="E15" s="2" t="s">
        <v>22</v>
      </c>
      <c r="F15" s="10" t="s">
        <v>30</v>
      </c>
      <c r="G15" s="10">
        <v>4</v>
      </c>
      <c r="H15" s="2" t="s">
        <v>38</v>
      </c>
      <c r="I15" s="7" t="str">
        <f>HYPERLINK("mast3r/outputs_extras/llff_fortress_b_scen_3/reconstruction.glb","mast3r/outputs_extras/llff_fortress_b_scen_3/reconstruction.glb")</f>
        <v>mast3r/outputs_extras/llff_fortress_b_scen_3/reconstruction.glb</v>
      </c>
      <c r="J15" s="6" t="s">
        <v>44</v>
      </c>
      <c r="K15" s="3" t="s">
        <v>32</v>
      </c>
      <c r="L15" s="3">
        <v>1</v>
      </c>
      <c r="M15" s="3">
        <v>1</v>
      </c>
      <c r="N15" s="3">
        <v>3</v>
      </c>
      <c r="O15" s="3">
        <v>1</v>
      </c>
      <c r="P15" s="4">
        <f t="shared" si="0"/>
        <v>6</v>
      </c>
      <c r="Q15" s="3" t="s">
        <v>27</v>
      </c>
      <c r="R15" s="6" t="str">
        <f t="shared" si="1"/>
        <v>OK</v>
      </c>
      <c r="S15" s="6" t="s">
        <v>45</v>
      </c>
    </row>
    <row r="16" spans="1:19" ht="33.950000000000003" customHeight="1" x14ac:dyDescent="0.25">
      <c r="A16" s="10">
        <v>15</v>
      </c>
      <c r="B16" s="2" t="s">
        <v>46</v>
      </c>
      <c r="C16" s="2" t="s">
        <v>20</v>
      </c>
      <c r="D16" s="2" t="s">
        <v>21</v>
      </c>
      <c r="E16" s="2" t="s">
        <v>22</v>
      </c>
      <c r="F16" s="10" t="s">
        <v>35</v>
      </c>
      <c r="G16" s="10">
        <v>4</v>
      </c>
      <c r="H16" s="2" t="s">
        <v>38</v>
      </c>
      <c r="I16" s="7" t="str">
        <f>HYPERLINK("mast3r/outputs_extras/llff_fortress_c_scen_3/reconstruction.glb","mast3r/outputs_extras/llff_fortress_c_scen_3/reconstruction.glb")</f>
        <v>mast3r/outputs_extras/llff_fortress_c_scen_3/reconstruction.glb</v>
      </c>
      <c r="J16" s="6" t="s">
        <v>47</v>
      </c>
      <c r="K16" s="3" t="s">
        <v>32</v>
      </c>
      <c r="L16" s="3">
        <v>1</v>
      </c>
      <c r="M16" s="3">
        <v>1</v>
      </c>
      <c r="N16" s="3">
        <v>3</v>
      </c>
      <c r="O16" s="3">
        <v>1</v>
      </c>
      <c r="P16" s="4">
        <f t="shared" si="0"/>
        <v>6</v>
      </c>
      <c r="Q16" s="3" t="s">
        <v>27</v>
      </c>
      <c r="R16" s="6" t="str">
        <f t="shared" si="1"/>
        <v>OK</v>
      </c>
      <c r="S16" s="6" t="s">
        <v>48</v>
      </c>
    </row>
    <row r="17" spans="1:19" ht="33.950000000000003" customHeight="1" x14ac:dyDescent="0.25">
      <c r="A17" s="10">
        <v>16</v>
      </c>
      <c r="B17" s="2" t="s">
        <v>40</v>
      </c>
      <c r="C17" s="2" t="s">
        <v>20</v>
      </c>
      <c r="D17" s="2" t="s">
        <v>21</v>
      </c>
      <c r="E17" s="2" t="s">
        <v>22</v>
      </c>
      <c r="F17" s="10" t="s">
        <v>23</v>
      </c>
      <c r="G17" s="10">
        <v>4</v>
      </c>
      <c r="H17" s="2" t="s">
        <v>39</v>
      </c>
      <c r="I17" s="7" t="str">
        <f>HYPERLINK("mapany/outputs/llff_fortress_scen_3/reconstruction.glb","mapany/outputs/llff_fortress_scen_3/reconstruction.glb")</f>
        <v>mapany/outputs/llff_fortress_scen_3/reconstruction.glb</v>
      </c>
      <c r="J17" s="6" t="s">
        <v>41</v>
      </c>
      <c r="K17" s="3" t="s">
        <v>26</v>
      </c>
      <c r="L17" s="3">
        <v>2</v>
      </c>
      <c r="M17" s="3">
        <v>2</v>
      </c>
      <c r="N17" s="3">
        <v>3</v>
      </c>
      <c r="O17" s="3">
        <v>2</v>
      </c>
      <c r="P17" s="4">
        <f t="shared" si="0"/>
        <v>9</v>
      </c>
      <c r="Q17" s="3" t="s">
        <v>27</v>
      </c>
      <c r="R17" s="6" t="str">
        <f t="shared" si="1"/>
        <v>OK</v>
      </c>
      <c r="S17" s="6" t="s">
        <v>42</v>
      </c>
    </row>
    <row r="18" spans="1:19" ht="33.950000000000003" customHeight="1" x14ac:dyDescent="0.25">
      <c r="A18" s="10">
        <v>17</v>
      </c>
      <c r="B18" s="2" t="s">
        <v>43</v>
      </c>
      <c r="C18" s="2" t="s">
        <v>20</v>
      </c>
      <c r="D18" s="2" t="s">
        <v>21</v>
      </c>
      <c r="E18" s="2" t="s">
        <v>22</v>
      </c>
      <c r="F18" s="10" t="s">
        <v>30</v>
      </c>
      <c r="G18" s="10">
        <v>4</v>
      </c>
      <c r="H18" s="2" t="s">
        <v>39</v>
      </c>
      <c r="I18" s="7" t="str">
        <f>HYPERLINK("mapany/outputs_extras/llff_fortress_b_scen_3/reconstruction.glb","mapany/outputs_extras/llff_fortress_b_scen_3/reconstruction.glb")</f>
        <v>mapany/outputs_extras/llff_fortress_b_scen_3/reconstruction.glb</v>
      </c>
      <c r="J18" s="6" t="s">
        <v>44</v>
      </c>
      <c r="K18" s="3" t="s">
        <v>32</v>
      </c>
      <c r="L18" s="3">
        <v>2</v>
      </c>
      <c r="M18" s="3">
        <v>2</v>
      </c>
      <c r="N18" s="3">
        <v>3</v>
      </c>
      <c r="O18" s="3">
        <v>2</v>
      </c>
      <c r="P18" s="4">
        <f t="shared" si="0"/>
        <v>9</v>
      </c>
      <c r="Q18" s="3" t="s">
        <v>27</v>
      </c>
      <c r="R18" s="6" t="str">
        <f t="shared" si="1"/>
        <v>OK</v>
      </c>
      <c r="S18" s="6" t="s">
        <v>45</v>
      </c>
    </row>
    <row r="19" spans="1:19" ht="33.950000000000003" customHeight="1" x14ac:dyDescent="0.25">
      <c r="A19" s="10">
        <v>18</v>
      </c>
      <c r="B19" s="2" t="s">
        <v>46</v>
      </c>
      <c r="C19" s="2" t="s">
        <v>20</v>
      </c>
      <c r="D19" s="2" t="s">
        <v>21</v>
      </c>
      <c r="E19" s="2" t="s">
        <v>22</v>
      </c>
      <c r="F19" s="10" t="s">
        <v>35</v>
      </c>
      <c r="G19" s="10">
        <v>4</v>
      </c>
      <c r="H19" s="2" t="s">
        <v>39</v>
      </c>
      <c r="I19" s="7" t="str">
        <f>HYPERLINK("mapany/outputs_extras/llff_fortress_c_scen_3/reconstruction.glb","mapany/outputs_extras/llff_fortress_c_scen_3/reconstruction.glb")</f>
        <v>mapany/outputs_extras/llff_fortress_c_scen_3/reconstruction.glb</v>
      </c>
      <c r="J19" s="6" t="s">
        <v>47</v>
      </c>
      <c r="K19" s="3" t="s">
        <v>32</v>
      </c>
      <c r="L19" s="3">
        <v>2</v>
      </c>
      <c r="M19" s="3">
        <v>2</v>
      </c>
      <c r="N19" s="3">
        <v>3</v>
      </c>
      <c r="O19" s="3">
        <v>2</v>
      </c>
      <c r="P19" s="4">
        <f t="shared" si="0"/>
        <v>9</v>
      </c>
      <c r="Q19" s="3" t="s">
        <v>27</v>
      </c>
      <c r="R19" s="6" t="str">
        <f t="shared" si="1"/>
        <v>OK</v>
      </c>
      <c r="S19" s="6" t="s">
        <v>48</v>
      </c>
    </row>
    <row r="20" spans="1:19" ht="33.950000000000003" customHeight="1" x14ac:dyDescent="0.25">
      <c r="A20" s="10">
        <v>19</v>
      </c>
      <c r="B20" s="2" t="s">
        <v>49</v>
      </c>
      <c r="C20" s="2" t="s">
        <v>50</v>
      </c>
      <c r="D20" s="2" t="s">
        <v>51</v>
      </c>
      <c r="E20" s="2" t="s">
        <v>52</v>
      </c>
      <c r="F20" s="10" t="s">
        <v>23</v>
      </c>
      <c r="G20" s="10">
        <v>2</v>
      </c>
      <c r="H20" s="2" t="s">
        <v>24</v>
      </c>
      <c r="I20" s="7" t="str">
        <f>HYPERLINK("vggt/outputs/custom_gate_scen_2/reconstruction.glb","vggt/outputs/custom_gate_scen_2/reconstruction.glb")</f>
        <v>vggt/outputs/custom_gate_scen_2/reconstruction.glb</v>
      </c>
      <c r="J20" s="6" t="s">
        <v>53</v>
      </c>
      <c r="K20" s="3" t="s">
        <v>26</v>
      </c>
      <c r="L20" s="3">
        <v>1</v>
      </c>
      <c r="M20" s="3">
        <v>2</v>
      </c>
      <c r="N20" s="3">
        <v>2</v>
      </c>
      <c r="O20" s="3">
        <v>1</v>
      </c>
      <c r="P20" s="4">
        <f t="shared" si="0"/>
        <v>6</v>
      </c>
      <c r="Q20" s="3" t="s">
        <v>27</v>
      </c>
      <c r="R20" s="6" t="str">
        <f t="shared" si="1"/>
        <v>OK</v>
      </c>
      <c r="S20" s="6" t="s">
        <v>54</v>
      </c>
    </row>
    <row r="21" spans="1:19" ht="33.950000000000003" customHeight="1" x14ac:dyDescent="0.25">
      <c r="A21" s="10">
        <v>20</v>
      </c>
      <c r="B21" s="2" t="s">
        <v>55</v>
      </c>
      <c r="C21" s="2" t="s">
        <v>50</v>
      </c>
      <c r="D21" s="2" t="s">
        <v>51</v>
      </c>
      <c r="E21" s="2" t="s">
        <v>52</v>
      </c>
      <c r="F21" s="10" t="s">
        <v>30</v>
      </c>
      <c r="G21" s="10">
        <v>2</v>
      </c>
      <c r="H21" s="2" t="s">
        <v>24</v>
      </c>
      <c r="I21" s="7" t="str">
        <f>HYPERLINK("vggt/outputs_extras/custom_gate_b_scen_2/reconstruction.glb","vggt/outputs_extras/custom_gate_b_scen_2/reconstruction.glb")</f>
        <v>vggt/outputs_extras/custom_gate_b_scen_2/reconstruction.glb</v>
      </c>
      <c r="J21" s="6" t="s">
        <v>56</v>
      </c>
      <c r="K21" s="3" t="s">
        <v>32</v>
      </c>
      <c r="L21" s="3">
        <v>1</v>
      </c>
      <c r="M21" s="3">
        <v>2</v>
      </c>
      <c r="N21" s="3">
        <v>2</v>
      </c>
      <c r="O21" s="3">
        <v>1</v>
      </c>
      <c r="P21" s="4">
        <f t="shared" si="0"/>
        <v>6</v>
      </c>
      <c r="Q21" s="3" t="s">
        <v>27</v>
      </c>
      <c r="R21" s="6" t="str">
        <f t="shared" si="1"/>
        <v>OK</v>
      </c>
      <c r="S21" s="6" t="s">
        <v>57</v>
      </c>
    </row>
    <row r="22" spans="1:19" ht="33.950000000000003" customHeight="1" x14ac:dyDescent="0.25">
      <c r="A22" s="10">
        <v>21</v>
      </c>
      <c r="B22" s="2" t="s">
        <v>58</v>
      </c>
      <c r="C22" s="2" t="s">
        <v>50</v>
      </c>
      <c r="D22" s="2" t="s">
        <v>51</v>
      </c>
      <c r="E22" s="2" t="s">
        <v>52</v>
      </c>
      <c r="F22" s="10" t="s">
        <v>35</v>
      </c>
      <c r="G22" s="10">
        <v>2</v>
      </c>
      <c r="H22" s="2" t="s">
        <v>24</v>
      </c>
      <c r="I22" s="7" t="str">
        <f>HYPERLINK("vggt/outputs_extras/custom_gate_c_scen_2/reconstruction.glb","vggt/outputs_extras/custom_gate_c_scen_2/reconstruction.glb")</f>
        <v>vggt/outputs_extras/custom_gate_c_scen_2/reconstruction.glb</v>
      </c>
      <c r="J22" s="6" t="s">
        <v>59</v>
      </c>
      <c r="K22" s="3" t="s">
        <v>32</v>
      </c>
      <c r="L22" s="3">
        <v>1</v>
      </c>
      <c r="M22" s="3">
        <v>2</v>
      </c>
      <c r="N22" s="3">
        <v>2</v>
      </c>
      <c r="O22" s="3">
        <v>1</v>
      </c>
      <c r="P22" s="4">
        <f t="shared" si="0"/>
        <v>6</v>
      </c>
      <c r="Q22" s="3" t="s">
        <v>27</v>
      </c>
      <c r="R22" s="6" t="str">
        <f t="shared" si="1"/>
        <v>OK</v>
      </c>
      <c r="S22" s="6" t="s">
        <v>60</v>
      </c>
    </row>
    <row r="23" spans="1:19" ht="33.950000000000003" customHeight="1" x14ac:dyDescent="0.25">
      <c r="A23" s="10">
        <v>22</v>
      </c>
      <c r="B23" s="2" t="s">
        <v>49</v>
      </c>
      <c r="C23" s="2" t="s">
        <v>50</v>
      </c>
      <c r="D23" s="2" t="s">
        <v>51</v>
      </c>
      <c r="E23" s="2" t="s">
        <v>52</v>
      </c>
      <c r="F23" s="10" t="s">
        <v>23</v>
      </c>
      <c r="G23" s="10">
        <v>2</v>
      </c>
      <c r="H23" s="2" t="s">
        <v>38</v>
      </c>
      <c r="I23" s="7" t="str">
        <f>HYPERLINK("mast3r/outputs/custom_gate_scen_2/reconstruction.glb","mast3r/outputs/custom_gate_scen_2/reconstruction.glb")</f>
        <v>mast3r/outputs/custom_gate_scen_2/reconstruction.glb</v>
      </c>
      <c r="J23" s="6" t="s">
        <v>53</v>
      </c>
      <c r="K23" s="3" t="s">
        <v>26</v>
      </c>
      <c r="L23" s="3">
        <v>2</v>
      </c>
      <c r="M23" s="3">
        <v>3</v>
      </c>
      <c r="N23" s="3">
        <v>3</v>
      </c>
      <c r="O23" s="3">
        <v>2</v>
      </c>
      <c r="P23" s="4">
        <f t="shared" si="0"/>
        <v>10</v>
      </c>
      <c r="Q23" s="3" t="s">
        <v>27</v>
      </c>
      <c r="R23" s="6" t="str">
        <f t="shared" si="1"/>
        <v>OK</v>
      </c>
      <c r="S23" s="6" t="s">
        <v>54</v>
      </c>
    </row>
    <row r="24" spans="1:19" ht="33.950000000000003" customHeight="1" x14ac:dyDescent="0.25">
      <c r="A24" s="10">
        <v>23</v>
      </c>
      <c r="B24" s="2" t="s">
        <v>55</v>
      </c>
      <c r="C24" s="2" t="s">
        <v>50</v>
      </c>
      <c r="D24" s="2" t="s">
        <v>51</v>
      </c>
      <c r="E24" s="2" t="s">
        <v>52</v>
      </c>
      <c r="F24" s="10" t="s">
        <v>30</v>
      </c>
      <c r="G24" s="10">
        <v>2</v>
      </c>
      <c r="H24" s="2" t="s">
        <v>38</v>
      </c>
      <c r="I24" s="7" t="str">
        <f>HYPERLINK("mast3r/outputs_extras/custom_gate_b_scen_2/reconstruction.glb","mast3r/outputs_extras/custom_gate_b_scen_2/reconstruction.glb")</f>
        <v>mast3r/outputs_extras/custom_gate_b_scen_2/reconstruction.glb</v>
      </c>
      <c r="J24" s="6" t="s">
        <v>56</v>
      </c>
      <c r="K24" s="3" t="s">
        <v>32</v>
      </c>
      <c r="L24" s="3">
        <v>2</v>
      </c>
      <c r="M24" s="3">
        <v>3</v>
      </c>
      <c r="N24" s="3">
        <v>3</v>
      </c>
      <c r="O24" s="3">
        <v>2</v>
      </c>
      <c r="P24" s="4">
        <f t="shared" si="0"/>
        <v>10</v>
      </c>
      <c r="Q24" s="3" t="s">
        <v>27</v>
      </c>
      <c r="R24" s="6" t="str">
        <f t="shared" si="1"/>
        <v>OK</v>
      </c>
      <c r="S24" s="6" t="s">
        <v>57</v>
      </c>
    </row>
    <row r="25" spans="1:19" ht="33.950000000000003" customHeight="1" x14ac:dyDescent="0.25">
      <c r="A25" s="10">
        <v>24</v>
      </c>
      <c r="B25" s="2" t="s">
        <v>58</v>
      </c>
      <c r="C25" s="2" t="s">
        <v>50</v>
      </c>
      <c r="D25" s="2" t="s">
        <v>51</v>
      </c>
      <c r="E25" s="2" t="s">
        <v>52</v>
      </c>
      <c r="F25" s="10" t="s">
        <v>35</v>
      </c>
      <c r="G25" s="10">
        <v>2</v>
      </c>
      <c r="H25" s="2" t="s">
        <v>38</v>
      </c>
      <c r="I25" s="7" t="str">
        <f>HYPERLINK("mast3r/outputs_extras/custom_gate_c_scen_2/reconstruction.glb","mast3r/outputs_extras/custom_gate_c_scen_2/reconstruction.glb")</f>
        <v>mast3r/outputs_extras/custom_gate_c_scen_2/reconstruction.glb</v>
      </c>
      <c r="J25" s="6" t="s">
        <v>59</v>
      </c>
      <c r="K25" s="3" t="s">
        <v>32</v>
      </c>
      <c r="L25" s="3">
        <v>2</v>
      </c>
      <c r="M25" s="3">
        <v>3</v>
      </c>
      <c r="N25" s="3">
        <v>3</v>
      </c>
      <c r="O25" s="3">
        <v>2</v>
      </c>
      <c r="P25" s="4">
        <f t="shared" si="0"/>
        <v>10</v>
      </c>
      <c r="Q25" s="3" t="s">
        <v>27</v>
      </c>
      <c r="R25" s="6" t="str">
        <f t="shared" si="1"/>
        <v>OK</v>
      </c>
      <c r="S25" s="6" t="s">
        <v>60</v>
      </c>
    </row>
    <row r="26" spans="1:19" ht="33.950000000000003" customHeight="1" x14ac:dyDescent="0.25">
      <c r="A26" s="10">
        <v>25</v>
      </c>
      <c r="B26" s="2" t="s">
        <v>49</v>
      </c>
      <c r="C26" s="2" t="s">
        <v>50</v>
      </c>
      <c r="D26" s="2" t="s">
        <v>51</v>
      </c>
      <c r="E26" s="2" t="s">
        <v>52</v>
      </c>
      <c r="F26" s="10" t="s">
        <v>23</v>
      </c>
      <c r="G26" s="10">
        <v>2</v>
      </c>
      <c r="H26" s="2" t="s">
        <v>39</v>
      </c>
      <c r="I26" s="7" t="str">
        <f>HYPERLINK("mapany/outputs/custom_gate_scen_2/reconstruction.glb","mapany/outputs/custom_gate_scen_2/reconstruction.glb")</f>
        <v>mapany/outputs/custom_gate_scen_2/reconstruction.glb</v>
      </c>
      <c r="J26" s="6" t="s">
        <v>53</v>
      </c>
      <c r="K26" s="3" t="s">
        <v>26</v>
      </c>
      <c r="L26" s="3">
        <v>3</v>
      </c>
      <c r="M26" s="3">
        <v>3</v>
      </c>
      <c r="N26" s="3">
        <v>2</v>
      </c>
      <c r="O26" s="3">
        <v>3</v>
      </c>
      <c r="P26" s="4">
        <f t="shared" si="0"/>
        <v>11</v>
      </c>
      <c r="Q26" s="3" t="s">
        <v>27</v>
      </c>
      <c r="R26" s="6" t="str">
        <f t="shared" si="1"/>
        <v>OK</v>
      </c>
      <c r="S26" s="6" t="s">
        <v>54</v>
      </c>
    </row>
    <row r="27" spans="1:19" ht="33.950000000000003" customHeight="1" x14ac:dyDescent="0.25">
      <c r="A27" s="10">
        <v>26</v>
      </c>
      <c r="B27" s="2" t="s">
        <v>55</v>
      </c>
      <c r="C27" s="2" t="s">
        <v>50</v>
      </c>
      <c r="D27" s="2" t="s">
        <v>51</v>
      </c>
      <c r="E27" s="2" t="s">
        <v>52</v>
      </c>
      <c r="F27" s="10" t="s">
        <v>30</v>
      </c>
      <c r="G27" s="10">
        <v>2</v>
      </c>
      <c r="H27" s="2" t="s">
        <v>39</v>
      </c>
      <c r="I27" s="7" t="str">
        <f>HYPERLINK("mapany/outputs_extras/custom_gate_b_scen_2/reconstruction.glb","mapany/outputs_extras/custom_gate_b_scen_2/reconstruction.glb")</f>
        <v>mapany/outputs_extras/custom_gate_b_scen_2/reconstruction.glb</v>
      </c>
      <c r="J27" s="6" t="s">
        <v>56</v>
      </c>
      <c r="K27" s="3" t="s">
        <v>32</v>
      </c>
      <c r="L27" s="3">
        <v>3</v>
      </c>
      <c r="M27" s="3">
        <v>3</v>
      </c>
      <c r="N27" s="3">
        <v>1</v>
      </c>
      <c r="O27" s="3">
        <v>2</v>
      </c>
      <c r="P27" s="4">
        <f t="shared" si="0"/>
        <v>9</v>
      </c>
      <c r="Q27" s="3" t="s">
        <v>27</v>
      </c>
      <c r="R27" s="6" t="str">
        <f t="shared" si="1"/>
        <v>OK</v>
      </c>
      <c r="S27" s="6" t="s">
        <v>57</v>
      </c>
    </row>
    <row r="28" spans="1:19" ht="33.950000000000003" customHeight="1" x14ac:dyDescent="0.25">
      <c r="A28" s="10">
        <v>27</v>
      </c>
      <c r="B28" s="2" t="s">
        <v>58</v>
      </c>
      <c r="C28" s="2" t="s">
        <v>50</v>
      </c>
      <c r="D28" s="2" t="s">
        <v>51</v>
      </c>
      <c r="E28" s="2" t="s">
        <v>52</v>
      </c>
      <c r="F28" s="10" t="s">
        <v>35</v>
      </c>
      <c r="G28" s="10">
        <v>2</v>
      </c>
      <c r="H28" s="2" t="s">
        <v>39</v>
      </c>
      <c r="I28" s="7" t="str">
        <f>HYPERLINK("mapany/outputs_extras/custom_gate_c_scen_2/reconstruction.glb","mapany/outputs_extras/custom_gate_c_scen_2/reconstruction.glb")</f>
        <v>mapany/outputs_extras/custom_gate_c_scen_2/reconstruction.glb</v>
      </c>
      <c r="J28" s="6" t="s">
        <v>59</v>
      </c>
      <c r="K28" s="3" t="s">
        <v>32</v>
      </c>
      <c r="L28" s="3">
        <v>3</v>
      </c>
      <c r="M28" s="3">
        <v>2</v>
      </c>
      <c r="N28" s="3">
        <v>2</v>
      </c>
      <c r="O28" s="3">
        <v>2</v>
      </c>
      <c r="P28" s="4">
        <f>IF($K28="Niepowodzenie rekonstrukcji",0,IF(COUNT($L28:$O28)=4,SUM($L28:$O28),""))</f>
        <v>9</v>
      </c>
      <c r="Q28" s="3" t="s">
        <v>27</v>
      </c>
      <c r="R28" s="6" t="str">
        <f>IF($K28="Niepowodzenie rekonstrukcji",IF(COUNTIF($L28:$O28,0)=4,"OK","Ustaw C, G, A, D = 0"),IF(COUNT($L28:$O28)=0,"Nieoceniony",IF(COUNT($L28:$O28)=4,"OK","Uzupełnij oceny")))</f>
        <v>OK</v>
      </c>
      <c r="S28" s="6" t="s">
        <v>60</v>
      </c>
    </row>
    <row r="29" spans="1:19" ht="33.950000000000003" customHeight="1" x14ac:dyDescent="0.25">
      <c r="A29" s="10">
        <v>28</v>
      </c>
      <c r="B29" s="2" t="s">
        <v>61</v>
      </c>
      <c r="C29" s="2" t="s">
        <v>50</v>
      </c>
      <c r="D29" s="2" t="s">
        <v>51</v>
      </c>
      <c r="E29" s="2" t="s">
        <v>52</v>
      </c>
      <c r="F29" s="10" t="s">
        <v>23</v>
      </c>
      <c r="G29" s="10">
        <v>4</v>
      </c>
      <c r="H29" s="2" t="s">
        <v>24</v>
      </c>
      <c r="I29" s="7" t="str">
        <f>HYPERLINK("vggt/outputs/custom_gate_scen_3/reconstruction.glb","vggt/outputs/custom_gate_scen_3/reconstruction.glb")</f>
        <v>vggt/outputs/custom_gate_scen_3/reconstruction.glb</v>
      </c>
      <c r="J29" s="6" t="s">
        <v>62</v>
      </c>
      <c r="K29" s="3" t="s">
        <v>26</v>
      </c>
      <c r="L29" s="3">
        <v>1</v>
      </c>
      <c r="M29" s="3">
        <v>3</v>
      </c>
      <c r="N29" s="3">
        <v>2</v>
      </c>
      <c r="O29" s="3">
        <v>1</v>
      </c>
      <c r="P29" s="4">
        <f t="shared" si="0"/>
        <v>7</v>
      </c>
      <c r="Q29" s="3" t="s">
        <v>27</v>
      </c>
      <c r="R29" s="6" t="str">
        <f t="shared" si="1"/>
        <v>OK</v>
      </c>
      <c r="S29" s="6" t="s">
        <v>63</v>
      </c>
    </row>
    <row r="30" spans="1:19" ht="33.950000000000003" customHeight="1" x14ac:dyDescent="0.25">
      <c r="A30" s="10">
        <v>29</v>
      </c>
      <c r="B30" s="2" t="s">
        <v>64</v>
      </c>
      <c r="C30" s="2" t="s">
        <v>50</v>
      </c>
      <c r="D30" s="2" t="s">
        <v>51</v>
      </c>
      <c r="E30" s="2" t="s">
        <v>52</v>
      </c>
      <c r="F30" s="10" t="s">
        <v>30</v>
      </c>
      <c r="G30" s="10">
        <v>4</v>
      </c>
      <c r="H30" s="2" t="s">
        <v>24</v>
      </c>
      <c r="I30" s="7" t="str">
        <f>HYPERLINK("vggt/outputs_extras/custom_gate_b_scen_3/reconstruction.glb","vggt/outputs_extras/custom_gate_b_scen_3/reconstruction.glb")</f>
        <v>vggt/outputs_extras/custom_gate_b_scen_3/reconstruction.glb</v>
      </c>
      <c r="J30" s="6" t="s">
        <v>65</v>
      </c>
      <c r="K30" s="3" t="s">
        <v>32</v>
      </c>
      <c r="L30" s="3">
        <v>1</v>
      </c>
      <c r="M30" s="3">
        <v>3</v>
      </c>
      <c r="N30" s="3">
        <v>2</v>
      </c>
      <c r="O30" s="3">
        <v>1</v>
      </c>
      <c r="P30" s="4">
        <f t="shared" si="0"/>
        <v>7</v>
      </c>
      <c r="Q30" s="3" t="s">
        <v>27</v>
      </c>
      <c r="R30" s="6" t="str">
        <f t="shared" si="1"/>
        <v>OK</v>
      </c>
      <c r="S30" s="6" t="s">
        <v>66</v>
      </c>
    </row>
    <row r="31" spans="1:19" ht="33.950000000000003" customHeight="1" x14ac:dyDescent="0.25">
      <c r="A31" s="10">
        <v>30</v>
      </c>
      <c r="B31" s="2" t="s">
        <v>67</v>
      </c>
      <c r="C31" s="2" t="s">
        <v>50</v>
      </c>
      <c r="D31" s="2" t="s">
        <v>51</v>
      </c>
      <c r="E31" s="2" t="s">
        <v>52</v>
      </c>
      <c r="F31" s="10" t="s">
        <v>35</v>
      </c>
      <c r="G31" s="10">
        <v>4</v>
      </c>
      <c r="H31" s="2" t="s">
        <v>24</v>
      </c>
      <c r="I31" s="7" t="str">
        <f>HYPERLINK("vggt/outputs_extras/custom_gate_c_scen_3/reconstruction.glb","vggt/outputs_extras/custom_gate_c_scen_3/reconstruction.glb")</f>
        <v>vggt/outputs_extras/custom_gate_c_scen_3/reconstruction.glb</v>
      </c>
      <c r="J31" s="6" t="s">
        <v>68</v>
      </c>
      <c r="K31" s="3" t="s">
        <v>32</v>
      </c>
      <c r="L31" s="3">
        <v>1</v>
      </c>
      <c r="M31" s="3">
        <v>3</v>
      </c>
      <c r="N31" s="3">
        <v>3</v>
      </c>
      <c r="O31" s="3">
        <v>1</v>
      </c>
      <c r="P31" s="4">
        <f t="shared" si="0"/>
        <v>8</v>
      </c>
      <c r="Q31" s="3" t="s">
        <v>27</v>
      </c>
      <c r="R31" s="6" t="str">
        <f t="shared" si="1"/>
        <v>OK</v>
      </c>
      <c r="S31" s="6" t="s">
        <v>69</v>
      </c>
    </row>
    <row r="32" spans="1:19" ht="33.950000000000003" customHeight="1" x14ac:dyDescent="0.25">
      <c r="A32" s="10">
        <v>31</v>
      </c>
      <c r="B32" s="2" t="s">
        <v>61</v>
      </c>
      <c r="C32" s="2" t="s">
        <v>50</v>
      </c>
      <c r="D32" s="2" t="s">
        <v>51</v>
      </c>
      <c r="E32" s="2" t="s">
        <v>52</v>
      </c>
      <c r="F32" s="10" t="s">
        <v>23</v>
      </c>
      <c r="G32" s="10">
        <v>4</v>
      </c>
      <c r="H32" s="2" t="s">
        <v>38</v>
      </c>
      <c r="I32" s="7" t="str">
        <f>HYPERLINK("mast3r/outputs/custom_gate_scen_3/reconstruction.glb","mast3r/outputs/custom_gate_scen_3/reconstruction.glb")</f>
        <v>mast3r/outputs/custom_gate_scen_3/reconstruction.glb</v>
      </c>
      <c r="J32" s="6" t="s">
        <v>62</v>
      </c>
      <c r="K32" s="3" t="s">
        <v>26</v>
      </c>
      <c r="L32" s="3">
        <v>2</v>
      </c>
      <c r="M32" s="3">
        <v>3</v>
      </c>
      <c r="N32" s="3">
        <v>2</v>
      </c>
      <c r="O32" s="3">
        <v>2</v>
      </c>
      <c r="P32" s="4">
        <f t="shared" si="0"/>
        <v>9</v>
      </c>
      <c r="Q32" s="3" t="s">
        <v>27</v>
      </c>
      <c r="R32" s="6" t="str">
        <f t="shared" si="1"/>
        <v>OK</v>
      </c>
      <c r="S32" s="6" t="s">
        <v>63</v>
      </c>
    </row>
    <row r="33" spans="1:19" ht="33.950000000000003" customHeight="1" x14ac:dyDescent="0.25">
      <c r="A33" s="10">
        <v>32</v>
      </c>
      <c r="B33" s="2" t="s">
        <v>64</v>
      </c>
      <c r="C33" s="2" t="s">
        <v>50</v>
      </c>
      <c r="D33" s="2" t="s">
        <v>51</v>
      </c>
      <c r="E33" s="2" t="s">
        <v>52</v>
      </c>
      <c r="F33" s="10" t="s">
        <v>30</v>
      </c>
      <c r="G33" s="10">
        <v>4</v>
      </c>
      <c r="H33" s="2" t="s">
        <v>38</v>
      </c>
      <c r="I33" s="7" t="str">
        <f>HYPERLINK("mast3r/outputs_extras/custom_gate_b_scen_3/reconstruction.glb","mast3r/outputs_extras/custom_gate_b_scen_3/reconstruction.glb")</f>
        <v>mast3r/outputs_extras/custom_gate_b_scen_3/reconstruction.glb</v>
      </c>
      <c r="J33" s="6" t="s">
        <v>65</v>
      </c>
      <c r="K33" s="3" t="s">
        <v>32</v>
      </c>
      <c r="L33" s="3">
        <v>2</v>
      </c>
      <c r="M33" s="3">
        <v>2</v>
      </c>
      <c r="N33" s="3">
        <v>2</v>
      </c>
      <c r="O33" s="3">
        <v>2</v>
      </c>
      <c r="P33" s="4">
        <f t="shared" si="0"/>
        <v>8</v>
      </c>
      <c r="Q33" s="3" t="s">
        <v>27</v>
      </c>
      <c r="R33" s="6" t="str">
        <f t="shared" si="1"/>
        <v>OK</v>
      </c>
      <c r="S33" s="6" t="s">
        <v>66</v>
      </c>
    </row>
    <row r="34" spans="1:19" ht="33.950000000000003" customHeight="1" x14ac:dyDescent="0.25">
      <c r="A34" s="10">
        <v>33</v>
      </c>
      <c r="B34" s="2" t="s">
        <v>67</v>
      </c>
      <c r="C34" s="2" t="s">
        <v>50</v>
      </c>
      <c r="D34" s="2" t="s">
        <v>51</v>
      </c>
      <c r="E34" s="2" t="s">
        <v>52</v>
      </c>
      <c r="F34" s="10" t="s">
        <v>35</v>
      </c>
      <c r="G34" s="10">
        <v>4</v>
      </c>
      <c r="H34" s="2" t="s">
        <v>38</v>
      </c>
      <c r="I34" s="7" t="str">
        <f>HYPERLINK("mast3r/outputs_extras/custom_gate_c_scen_3/reconstruction.glb","mast3r/outputs_extras/custom_gate_c_scen_3/reconstruction.glb")</f>
        <v>mast3r/outputs_extras/custom_gate_c_scen_3/reconstruction.glb</v>
      </c>
      <c r="J34" s="6" t="s">
        <v>68</v>
      </c>
      <c r="K34" s="3" t="s">
        <v>32</v>
      </c>
      <c r="L34" s="3">
        <v>2</v>
      </c>
      <c r="M34" s="3">
        <v>3</v>
      </c>
      <c r="N34" s="3">
        <v>3</v>
      </c>
      <c r="O34" s="3">
        <v>2</v>
      </c>
      <c r="P34" s="4">
        <f t="shared" ref="P34:P65" si="2">IF($K34="Niepowodzenie rekonstrukcji",0,IF(COUNT($L34:$O34)=4,SUM($L34:$O34),""))</f>
        <v>10</v>
      </c>
      <c r="Q34" s="3" t="s">
        <v>27</v>
      </c>
      <c r="R34" s="6" t="str">
        <f t="shared" ref="R34:R65" si="3">IF($K34="Niepowodzenie rekonstrukcji",IF(COUNTIF($L34:$O34,0)=4,"OK","Ustaw C, G, A, D = 0"),IF(COUNT($L34:$O34)=0,"Nieoceniony",IF(COUNT($L34:$O34)=4,"OK","Uzupełnij oceny")))</f>
        <v>OK</v>
      </c>
      <c r="S34" s="6" t="s">
        <v>69</v>
      </c>
    </row>
    <row r="35" spans="1:19" ht="33.950000000000003" customHeight="1" x14ac:dyDescent="0.25">
      <c r="A35" s="10">
        <v>34</v>
      </c>
      <c r="B35" s="2" t="s">
        <v>61</v>
      </c>
      <c r="C35" s="2" t="s">
        <v>50</v>
      </c>
      <c r="D35" s="2" t="s">
        <v>51</v>
      </c>
      <c r="E35" s="2" t="s">
        <v>52</v>
      </c>
      <c r="F35" s="10" t="s">
        <v>23</v>
      </c>
      <c r="G35" s="10">
        <v>4</v>
      </c>
      <c r="H35" s="2" t="s">
        <v>39</v>
      </c>
      <c r="I35" s="7" t="str">
        <f>HYPERLINK("mapany/outputs/custom_gate_scen_3/reconstruction.glb","mapany/outputs/custom_gate_scen_3/reconstruction.glb")</f>
        <v>mapany/outputs/custom_gate_scen_3/reconstruction.glb</v>
      </c>
      <c r="J35" s="6" t="s">
        <v>62</v>
      </c>
      <c r="K35" s="3" t="s">
        <v>26</v>
      </c>
      <c r="L35" s="3">
        <v>3</v>
      </c>
      <c r="M35" s="3">
        <v>2</v>
      </c>
      <c r="N35" s="3">
        <v>2</v>
      </c>
      <c r="O35" s="3">
        <v>3</v>
      </c>
      <c r="P35" s="4">
        <f t="shared" si="2"/>
        <v>10</v>
      </c>
      <c r="Q35" s="3" t="s">
        <v>27</v>
      </c>
      <c r="R35" s="6" t="str">
        <f t="shared" si="3"/>
        <v>OK</v>
      </c>
      <c r="S35" s="6" t="s">
        <v>63</v>
      </c>
    </row>
    <row r="36" spans="1:19" ht="33.950000000000003" customHeight="1" x14ac:dyDescent="0.25">
      <c r="A36" s="10">
        <v>35</v>
      </c>
      <c r="B36" s="2" t="s">
        <v>64</v>
      </c>
      <c r="C36" s="2" t="s">
        <v>50</v>
      </c>
      <c r="D36" s="2" t="s">
        <v>51</v>
      </c>
      <c r="E36" s="2" t="s">
        <v>52</v>
      </c>
      <c r="F36" s="10" t="s">
        <v>30</v>
      </c>
      <c r="G36" s="10">
        <v>4</v>
      </c>
      <c r="H36" s="2" t="s">
        <v>39</v>
      </c>
      <c r="I36" s="7" t="str">
        <f>HYPERLINK("mapany/outputs_extras/custom_gate_b_scen_3/reconstruction.glb","mapany/outputs_extras/custom_gate_b_scen_3/reconstruction.glb")</f>
        <v>mapany/outputs_extras/custom_gate_b_scen_3/reconstruction.glb</v>
      </c>
      <c r="J36" s="6" t="s">
        <v>65</v>
      </c>
      <c r="K36" s="3" t="s">
        <v>32</v>
      </c>
      <c r="L36" s="3">
        <v>3</v>
      </c>
      <c r="M36" s="3">
        <v>2</v>
      </c>
      <c r="N36" s="3">
        <v>2</v>
      </c>
      <c r="O36" s="3">
        <v>3</v>
      </c>
      <c r="P36" s="4">
        <f t="shared" si="2"/>
        <v>10</v>
      </c>
      <c r="Q36" s="3" t="s">
        <v>27</v>
      </c>
      <c r="R36" s="6" t="str">
        <f t="shared" si="3"/>
        <v>OK</v>
      </c>
      <c r="S36" s="6" t="s">
        <v>66</v>
      </c>
    </row>
    <row r="37" spans="1:19" ht="33.950000000000003" customHeight="1" x14ac:dyDescent="0.25">
      <c r="A37" s="10">
        <v>36</v>
      </c>
      <c r="B37" s="2" t="s">
        <v>67</v>
      </c>
      <c r="C37" s="2" t="s">
        <v>50</v>
      </c>
      <c r="D37" s="2" t="s">
        <v>51</v>
      </c>
      <c r="E37" s="2" t="s">
        <v>52</v>
      </c>
      <c r="F37" s="10" t="s">
        <v>35</v>
      </c>
      <c r="G37" s="10">
        <v>4</v>
      </c>
      <c r="H37" s="2" t="s">
        <v>39</v>
      </c>
      <c r="I37" s="7" t="str">
        <f>HYPERLINK("mapany/outputs_extras/custom_gate_c_scen_3/reconstruction.glb","mapany/outputs_extras/custom_gate_c_scen_3/reconstruction.glb")</f>
        <v>mapany/outputs_extras/custom_gate_c_scen_3/reconstruction.glb</v>
      </c>
      <c r="J37" s="6" t="s">
        <v>68</v>
      </c>
      <c r="K37" s="3" t="s">
        <v>32</v>
      </c>
      <c r="L37" s="3">
        <v>2</v>
      </c>
      <c r="M37" s="3">
        <v>2</v>
      </c>
      <c r="N37" s="3">
        <v>1</v>
      </c>
      <c r="O37" s="3">
        <v>2</v>
      </c>
      <c r="P37" s="4">
        <f t="shared" si="2"/>
        <v>7</v>
      </c>
      <c r="Q37" s="3" t="s">
        <v>27</v>
      </c>
      <c r="R37" s="6" t="str">
        <f t="shared" si="3"/>
        <v>OK</v>
      </c>
      <c r="S37" s="6" t="s">
        <v>69</v>
      </c>
    </row>
    <row r="38" spans="1:19" ht="33.950000000000003" customHeight="1" x14ac:dyDescent="0.25">
      <c r="A38" s="10">
        <v>37</v>
      </c>
      <c r="B38" s="2" t="s">
        <v>70</v>
      </c>
      <c r="C38" s="2" t="s">
        <v>71</v>
      </c>
      <c r="D38" s="2" t="s">
        <v>72</v>
      </c>
      <c r="E38" s="2" t="s">
        <v>52</v>
      </c>
      <c r="F38" s="10" t="s">
        <v>23</v>
      </c>
      <c r="G38" s="10">
        <v>2</v>
      </c>
      <c r="H38" s="2" t="s">
        <v>24</v>
      </c>
      <c r="I38" s="7" t="str">
        <f>HYPERLINK("vggt/outputs/eth3d_observatory_scen_2/reconstruction.glb","vggt/outputs/eth3d_observatory_scen_2/reconstruction.glb")</f>
        <v>vggt/outputs/eth3d_observatory_scen_2/reconstruction.glb</v>
      </c>
      <c r="J38" s="6" t="s">
        <v>73</v>
      </c>
      <c r="K38" s="3" t="s">
        <v>26</v>
      </c>
      <c r="L38" s="3">
        <v>1</v>
      </c>
      <c r="M38" s="3">
        <v>2</v>
      </c>
      <c r="N38" s="3">
        <v>1</v>
      </c>
      <c r="O38" s="3">
        <v>1</v>
      </c>
      <c r="P38" s="4">
        <f t="shared" si="2"/>
        <v>5</v>
      </c>
      <c r="Q38" s="3" t="s">
        <v>27</v>
      </c>
      <c r="R38" s="6" t="str">
        <f t="shared" si="3"/>
        <v>OK</v>
      </c>
      <c r="S38" s="6" t="s">
        <v>74</v>
      </c>
    </row>
    <row r="39" spans="1:19" ht="33.950000000000003" customHeight="1" x14ac:dyDescent="0.25">
      <c r="A39" s="10">
        <v>38</v>
      </c>
      <c r="B39" s="2" t="s">
        <v>75</v>
      </c>
      <c r="C39" s="2" t="s">
        <v>71</v>
      </c>
      <c r="D39" s="2" t="s">
        <v>72</v>
      </c>
      <c r="E39" s="2" t="s">
        <v>52</v>
      </c>
      <c r="F39" s="10" t="s">
        <v>30</v>
      </c>
      <c r="G39" s="10">
        <v>2</v>
      </c>
      <c r="H39" s="2" t="s">
        <v>24</v>
      </c>
      <c r="I39" s="7" t="str">
        <f>HYPERLINK("vggt/outputs_extras/eth3d_observatory_b_scen_2/reconstruction.glb","vggt/outputs_extras/eth3d_observatory_b_scen_2/reconstruction.glb")</f>
        <v>vggt/outputs_extras/eth3d_observatory_b_scen_2/reconstruction.glb</v>
      </c>
      <c r="J39" s="6" t="s">
        <v>76</v>
      </c>
      <c r="K39" s="3" t="s">
        <v>32</v>
      </c>
      <c r="L39" s="3">
        <v>2</v>
      </c>
      <c r="M39" s="3">
        <v>2</v>
      </c>
      <c r="N39" s="3">
        <v>1</v>
      </c>
      <c r="O39" s="3">
        <v>2</v>
      </c>
      <c r="P39" s="4">
        <f t="shared" si="2"/>
        <v>7</v>
      </c>
      <c r="Q39" s="3" t="s">
        <v>27</v>
      </c>
      <c r="R39" s="6" t="str">
        <f t="shared" si="3"/>
        <v>OK</v>
      </c>
      <c r="S39" s="6" t="s">
        <v>77</v>
      </c>
    </row>
    <row r="40" spans="1:19" ht="33.950000000000003" customHeight="1" x14ac:dyDescent="0.25">
      <c r="A40" s="10">
        <v>39</v>
      </c>
      <c r="B40" s="2" t="s">
        <v>78</v>
      </c>
      <c r="C40" s="2" t="s">
        <v>71</v>
      </c>
      <c r="D40" s="2" t="s">
        <v>72</v>
      </c>
      <c r="E40" s="2" t="s">
        <v>52</v>
      </c>
      <c r="F40" s="10" t="s">
        <v>35</v>
      </c>
      <c r="G40" s="10">
        <v>2</v>
      </c>
      <c r="H40" s="2" t="s">
        <v>24</v>
      </c>
      <c r="I40" s="7" t="str">
        <f>HYPERLINK("vggt/outputs_extras/eth3d_observatory_c_scen_2/reconstruction.glb","vggt/outputs_extras/eth3d_observatory_c_scen_2/reconstruction.glb")</f>
        <v>vggt/outputs_extras/eth3d_observatory_c_scen_2/reconstruction.glb</v>
      </c>
      <c r="J40" s="6" t="s">
        <v>79</v>
      </c>
      <c r="K40" s="3" t="s">
        <v>32</v>
      </c>
      <c r="L40" s="3">
        <v>1</v>
      </c>
      <c r="M40" s="3">
        <v>2</v>
      </c>
      <c r="N40" s="3">
        <v>1</v>
      </c>
      <c r="O40" s="3">
        <v>1</v>
      </c>
      <c r="P40" s="4">
        <f t="shared" si="2"/>
        <v>5</v>
      </c>
      <c r="Q40" s="3" t="s">
        <v>27</v>
      </c>
      <c r="R40" s="6" t="str">
        <f t="shared" si="3"/>
        <v>OK</v>
      </c>
      <c r="S40" s="6" t="s">
        <v>80</v>
      </c>
    </row>
    <row r="41" spans="1:19" ht="33.950000000000003" customHeight="1" x14ac:dyDescent="0.25">
      <c r="A41" s="10">
        <v>40</v>
      </c>
      <c r="B41" s="2" t="s">
        <v>70</v>
      </c>
      <c r="C41" s="2" t="s">
        <v>71</v>
      </c>
      <c r="D41" s="2" t="s">
        <v>72</v>
      </c>
      <c r="E41" s="2" t="s">
        <v>52</v>
      </c>
      <c r="F41" s="10" t="s">
        <v>23</v>
      </c>
      <c r="G41" s="10">
        <v>2</v>
      </c>
      <c r="H41" s="2" t="s">
        <v>38</v>
      </c>
      <c r="I41" s="7" t="str">
        <f>HYPERLINK("mast3r/outputs/eth3d_observatory_scen_2/reconstruction.glb","mast3r/outputs/eth3d_observatory_scen_2/reconstruction.glb")</f>
        <v>mast3r/outputs/eth3d_observatory_scen_2/reconstruction.glb</v>
      </c>
      <c r="J41" s="6" t="s">
        <v>73</v>
      </c>
      <c r="K41" s="3" t="s">
        <v>26</v>
      </c>
      <c r="L41" s="3">
        <v>1</v>
      </c>
      <c r="M41" s="3">
        <v>2</v>
      </c>
      <c r="N41" s="3">
        <v>2</v>
      </c>
      <c r="O41" s="3">
        <v>1</v>
      </c>
      <c r="P41" s="4">
        <f t="shared" si="2"/>
        <v>6</v>
      </c>
      <c r="Q41" s="3" t="s">
        <v>27</v>
      </c>
      <c r="R41" s="6" t="str">
        <f t="shared" si="3"/>
        <v>OK</v>
      </c>
      <c r="S41" s="6" t="s">
        <v>74</v>
      </c>
    </row>
    <row r="42" spans="1:19" ht="33.950000000000003" customHeight="1" x14ac:dyDescent="0.25">
      <c r="A42" s="10">
        <v>41</v>
      </c>
      <c r="B42" s="2" t="s">
        <v>75</v>
      </c>
      <c r="C42" s="2" t="s">
        <v>71</v>
      </c>
      <c r="D42" s="2" t="s">
        <v>72</v>
      </c>
      <c r="E42" s="2" t="s">
        <v>52</v>
      </c>
      <c r="F42" s="10" t="s">
        <v>30</v>
      </c>
      <c r="G42" s="10">
        <v>2</v>
      </c>
      <c r="H42" s="2" t="s">
        <v>38</v>
      </c>
      <c r="I42" s="7" t="str">
        <f>HYPERLINK("mast3r/outputs_extras/eth3d_observatory_b_scen_2/reconstruction.glb","mast3r/outputs_extras/eth3d_observatory_b_scen_2/reconstruction.glb")</f>
        <v>mast3r/outputs_extras/eth3d_observatory_b_scen_2/reconstruction.glb</v>
      </c>
      <c r="J42" s="6" t="s">
        <v>76</v>
      </c>
      <c r="K42" s="3" t="s">
        <v>32</v>
      </c>
      <c r="L42" s="3">
        <v>1</v>
      </c>
      <c r="M42" s="3">
        <v>1</v>
      </c>
      <c r="N42" s="3">
        <v>3</v>
      </c>
      <c r="O42" s="3">
        <v>1</v>
      </c>
      <c r="P42" s="4">
        <f t="shared" si="2"/>
        <v>6</v>
      </c>
      <c r="Q42" s="3" t="s">
        <v>27</v>
      </c>
      <c r="R42" s="6" t="str">
        <f t="shared" si="3"/>
        <v>OK</v>
      </c>
      <c r="S42" s="6" t="s">
        <v>77</v>
      </c>
    </row>
    <row r="43" spans="1:19" ht="33.950000000000003" customHeight="1" x14ac:dyDescent="0.25">
      <c r="A43" s="10">
        <v>42</v>
      </c>
      <c r="B43" s="2" t="s">
        <v>78</v>
      </c>
      <c r="C43" s="2" t="s">
        <v>71</v>
      </c>
      <c r="D43" s="2" t="s">
        <v>72</v>
      </c>
      <c r="E43" s="2" t="s">
        <v>52</v>
      </c>
      <c r="F43" s="10" t="s">
        <v>35</v>
      </c>
      <c r="G43" s="10">
        <v>2</v>
      </c>
      <c r="H43" s="2" t="s">
        <v>38</v>
      </c>
      <c r="I43" s="7" t="str">
        <f>HYPERLINK("mast3r/outputs_extras/eth3d_observatory_c_scen_2/reconstruction.glb","mast3r/outputs_extras/eth3d_observatory_c_scen_2/reconstruction.glb")</f>
        <v>mast3r/outputs_extras/eth3d_observatory_c_scen_2/reconstruction.glb</v>
      </c>
      <c r="J43" s="6" t="s">
        <v>79</v>
      </c>
      <c r="K43" s="3" t="s">
        <v>32</v>
      </c>
      <c r="L43" s="3">
        <v>1</v>
      </c>
      <c r="M43" s="3">
        <v>2</v>
      </c>
      <c r="N43" s="3">
        <v>2</v>
      </c>
      <c r="O43" s="3">
        <v>1</v>
      </c>
      <c r="P43" s="4">
        <f t="shared" si="2"/>
        <v>6</v>
      </c>
      <c r="Q43" s="3" t="s">
        <v>27</v>
      </c>
      <c r="R43" s="6" t="str">
        <f t="shared" si="3"/>
        <v>OK</v>
      </c>
      <c r="S43" s="6" t="s">
        <v>80</v>
      </c>
    </row>
    <row r="44" spans="1:19" ht="33.950000000000003" customHeight="1" x14ac:dyDescent="0.25">
      <c r="A44" s="10">
        <v>43</v>
      </c>
      <c r="B44" s="2" t="s">
        <v>70</v>
      </c>
      <c r="C44" s="2" t="s">
        <v>71</v>
      </c>
      <c r="D44" s="2" t="s">
        <v>72</v>
      </c>
      <c r="E44" s="2" t="s">
        <v>52</v>
      </c>
      <c r="F44" s="10" t="s">
        <v>23</v>
      </c>
      <c r="G44" s="10">
        <v>2</v>
      </c>
      <c r="H44" s="2" t="s">
        <v>39</v>
      </c>
      <c r="I44" s="7" t="str">
        <f>HYPERLINK("mapany/outputs/eth3d_observatory_scen_2/reconstruction.glb","mapany/outputs/eth3d_observatory_scen_2/reconstruction.glb")</f>
        <v>mapany/outputs/eth3d_observatory_scen_2/reconstruction.glb</v>
      </c>
      <c r="J44" s="6" t="s">
        <v>73</v>
      </c>
      <c r="K44" s="3" t="s">
        <v>26</v>
      </c>
      <c r="L44" s="3">
        <v>3</v>
      </c>
      <c r="M44" s="3">
        <v>2</v>
      </c>
      <c r="N44" s="3">
        <v>2</v>
      </c>
      <c r="O44" s="3">
        <v>3</v>
      </c>
      <c r="P44" s="4">
        <f t="shared" si="2"/>
        <v>10</v>
      </c>
      <c r="Q44" s="3" t="s">
        <v>27</v>
      </c>
      <c r="R44" s="6" t="str">
        <f t="shared" si="3"/>
        <v>OK</v>
      </c>
      <c r="S44" s="6" t="s">
        <v>74</v>
      </c>
    </row>
    <row r="45" spans="1:19" ht="33.950000000000003" customHeight="1" x14ac:dyDescent="0.25">
      <c r="A45" s="10">
        <v>44</v>
      </c>
      <c r="B45" s="2" t="s">
        <v>75</v>
      </c>
      <c r="C45" s="2" t="s">
        <v>71</v>
      </c>
      <c r="D45" s="2" t="s">
        <v>72</v>
      </c>
      <c r="E45" s="2" t="s">
        <v>52</v>
      </c>
      <c r="F45" s="10" t="s">
        <v>30</v>
      </c>
      <c r="G45" s="10">
        <v>2</v>
      </c>
      <c r="H45" s="2" t="s">
        <v>39</v>
      </c>
      <c r="I45" s="7" t="str">
        <f>HYPERLINK("mapany/outputs_extras/eth3d_observatory_b_scen_2/reconstruction.glb","mapany/outputs_extras/eth3d_observatory_b_scen_2/reconstruction.glb")</f>
        <v>mapany/outputs_extras/eth3d_observatory_b_scen_2/reconstruction.glb</v>
      </c>
      <c r="J45" s="6" t="s">
        <v>76</v>
      </c>
      <c r="K45" s="3" t="s">
        <v>32</v>
      </c>
      <c r="L45" s="3">
        <v>3</v>
      </c>
      <c r="M45" s="3">
        <v>2</v>
      </c>
      <c r="N45" s="3">
        <v>2</v>
      </c>
      <c r="O45" s="3">
        <v>3</v>
      </c>
      <c r="P45" s="4">
        <f t="shared" si="2"/>
        <v>10</v>
      </c>
      <c r="Q45" s="3" t="s">
        <v>27</v>
      </c>
      <c r="R45" s="6" t="str">
        <f t="shared" si="3"/>
        <v>OK</v>
      </c>
      <c r="S45" s="6" t="s">
        <v>77</v>
      </c>
    </row>
    <row r="46" spans="1:19" ht="33.950000000000003" customHeight="1" x14ac:dyDescent="0.25">
      <c r="A46" s="10">
        <v>45</v>
      </c>
      <c r="B46" s="2" t="s">
        <v>78</v>
      </c>
      <c r="C46" s="2" t="s">
        <v>71</v>
      </c>
      <c r="D46" s="2" t="s">
        <v>72</v>
      </c>
      <c r="E46" s="2" t="s">
        <v>52</v>
      </c>
      <c r="F46" s="10" t="s">
        <v>35</v>
      </c>
      <c r="G46" s="10">
        <v>2</v>
      </c>
      <c r="H46" s="2" t="s">
        <v>39</v>
      </c>
      <c r="I46" s="7" t="str">
        <f>HYPERLINK("mapany/outputs_extras/eth3d_observatory_c_scen_2/reconstruction.glb","mapany/outputs_extras/eth3d_observatory_c_scen_2/reconstruction.glb")</f>
        <v>mapany/outputs_extras/eth3d_observatory_c_scen_2/reconstruction.glb</v>
      </c>
      <c r="J46" s="6" t="s">
        <v>79</v>
      </c>
      <c r="K46" s="3" t="s">
        <v>32</v>
      </c>
      <c r="L46" s="3">
        <v>3</v>
      </c>
      <c r="M46" s="3">
        <v>2</v>
      </c>
      <c r="N46" s="3">
        <v>2</v>
      </c>
      <c r="O46" s="3">
        <v>3</v>
      </c>
      <c r="P46" s="4">
        <f t="shared" si="2"/>
        <v>10</v>
      </c>
      <c r="Q46" s="3" t="s">
        <v>27</v>
      </c>
      <c r="R46" s="6" t="str">
        <f t="shared" si="3"/>
        <v>OK</v>
      </c>
      <c r="S46" s="6" t="s">
        <v>80</v>
      </c>
    </row>
    <row r="47" spans="1:19" ht="33.950000000000003" customHeight="1" x14ac:dyDescent="0.25">
      <c r="A47" s="10">
        <v>46</v>
      </c>
      <c r="B47" s="2" t="s">
        <v>81</v>
      </c>
      <c r="C47" s="2" t="s">
        <v>71</v>
      </c>
      <c r="D47" s="2" t="s">
        <v>72</v>
      </c>
      <c r="E47" s="2" t="s">
        <v>52</v>
      </c>
      <c r="F47" s="10" t="s">
        <v>23</v>
      </c>
      <c r="G47" s="10">
        <v>4</v>
      </c>
      <c r="H47" s="2" t="s">
        <v>24</v>
      </c>
      <c r="I47" s="7" t="str">
        <f>HYPERLINK("vggt/outputs/eth3d_observatory_scen_3/reconstruction.glb","vggt/outputs/eth3d_observatory_scen_3/reconstruction.glb")</f>
        <v>vggt/outputs/eth3d_observatory_scen_3/reconstruction.glb</v>
      </c>
      <c r="J47" s="6" t="s">
        <v>82</v>
      </c>
      <c r="K47" s="3" t="s">
        <v>26</v>
      </c>
      <c r="L47" s="3">
        <v>2</v>
      </c>
      <c r="M47" s="3">
        <v>2</v>
      </c>
      <c r="N47" s="3">
        <v>2</v>
      </c>
      <c r="O47" s="3">
        <v>2</v>
      </c>
      <c r="P47" s="4">
        <f t="shared" si="2"/>
        <v>8</v>
      </c>
      <c r="Q47" s="3" t="s">
        <v>27</v>
      </c>
      <c r="R47" s="6" t="str">
        <f t="shared" si="3"/>
        <v>OK</v>
      </c>
      <c r="S47" s="6" t="s">
        <v>83</v>
      </c>
    </row>
    <row r="48" spans="1:19" ht="33.950000000000003" customHeight="1" x14ac:dyDescent="0.25">
      <c r="A48" s="10">
        <v>47</v>
      </c>
      <c r="B48" s="2" t="s">
        <v>84</v>
      </c>
      <c r="C48" s="2" t="s">
        <v>71</v>
      </c>
      <c r="D48" s="2" t="s">
        <v>72</v>
      </c>
      <c r="E48" s="2" t="s">
        <v>52</v>
      </c>
      <c r="F48" s="10" t="s">
        <v>30</v>
      </c>
      <c r="G48" s="10">
        <v>4</v>
      </c>
      <c r="H48" s="2" t="s">
        <v>24</v>
      </c>
      <c r="I48" s="7" t="str">
        <f>HYPERLINK("vggt/outputs_extras/eth3d_observatory_b_scen_3/reconstruction.glb","vggt/outputs_extras/eth3d_observatory_b_scen_3/reconstruction.glb")</f>
        <v>vggt/outputs_extras/eth3d_observatory_b_scen_3/reconstruction.glb</v>
      </c>
      <c r="J48" s="6" t="s">
        <v>85</v>
      </c>
      <c r="K48" s="3" t="s">
        <v>32</v>
      </c>
      <c r="L48" s="3">
        <v>2</v>
      </c>
      <c r="M48" s="3">
        <v>2</v>
      </c>
      <c r="N48" s="3">
        <v>2</v>
      </c>
      <c r="O48" s="3">
        <v>2</v>
      </c>
      <c r="P48" s="4">
        <f t="shared" si="2"/>
        <v>8</v>
      </c>
      <c r="Q48" s="3" t="s">
        <v>27</v>
      </c>
      <c r="R48" s="6" t="str">
        <f t="shared" si="3"/>
        <v>OK</v>
      </c>
      <c r="S48" s="6" t="s">
        <v>86</v>
      </c>
    </row>
    <row r="49" spans="1:19" ht="33.950000000000003" customHeight="1" x14ac:dyDescent="0.25">
      <c r="A49" s="10">
        <v>48</v>
      </c>
      <c r="B49" s="2" t="s">
        <v>87</v>
      </c>
      <c r="C49" s="2" t="s">
        <v>71</v>
      </c>
      <c r="D49" s="2" t="s">
        <v>72</v>
      </c>
      <c r="E49" s="2" t="s">
        <v>52</v>
      </c>
      <c r="F49" s="10" t="s">
        <v>35</v>
      </c>
      <c r="G49" s="10">
        <v>4</v>
      </c>
      <c r="H49" s="2" t="s">
        <v>24</v>
      </c>
      <c r="I49" s="7" t="str">
        <f>HYPERLINK("vggt/outputs_extras/eth3d_observatory_c_scen_3/reconstruction.glb","vggt/outputs_extras/eth3d_observatory_c_scen_3/reconstruction.glb")</f>
        <v>vggt/outputs_extras/eth3d_observatory_c_scen_3/reconstruction.glb</v>
      </c>
      <c r="J49" s="6" t="s">
        <v>88</v>
      </c>
      <c r="K49" s="3" t="s">
        <v>32</v>
      </c>
      <c r="L49" s="3">
        <v>1</v>
      </c>
      <c r="M49" s="3">
        <v>2</v>
      </c>
      <c r="N49" s="3">
        <v>2</v>
      </c>
      <c r="O49" s="3">
        <v>2</v>
      </c>
      <c r="P49" s="4">
        <f t="shared" si="2"/>
        <v>7</v>
      </c>
      <c r="Q49" s="3" t="s">
        <v>27</v>
      </c>
      <c r="R49" s="6" t="str">
        <f t="shared" si="3"/>
        <v>OK</v>
      </c>
      <c r="S49" s="6" t="s">
        <v>89</v>
      </c>
    </row>
    <row r="50" spans="1:19" ht="33.950000000000003" customHeight="1" x14ac:dyDescent="0.25">
      <c r="A50" s="10">
        <v>49</v>
      </c>
      <c r="B50" s="2" t="s">
        <v>81</v>
      </c>
      <c r="C50" s="2" t="s">
        <v>71</v>
      </c>
      <c r="D50" s="2" t="s">
        <v>72</v>
      </c>
      <c r="E50" s="2" t="s">
        <v>52</v>
      </c>
      <c r="F50" s="10" t="s">
        <v>23</v>
      </c>
      <c r="G50" s="10">
        <v>4</v>
      </c>
      <c r="H50" s="2" t="s">
        <v>38</v>
      </c>
      <c r="I50" s="7" t="str">
        <f>HYPERLINK("mast3r/outputs/eth3d_observatory_scen_3/reconstruction.glb","mast3r/outputs/eth3d_observatory_scen_3/reconstruction.glb")</f>
        <v>mast3r/outputs/eth3d_observatory_scen_3/reconstruction.glb</v>
      </c>
      <c r="J50" s="6" t="s">
        <v>82</v>
      </c>
      <c r="K50" s="3" t="s">
        <v>26</v>
      </c>
      <c r="L50" s="3">
        <v>2</v>
      </c>
      <c r="M50" s="3">
        <v>2</v>
      </c>
      <c r="N50" s="3">
        <v>2</v>
      </c>
      <c r="O50" s="3">
        <v>1</v>
      </c>
      <c r="P50" s="4">
        <f t="shared" si="2"/>
        <v>7</v>
      </c>
      <c r="Q50" s="3" t="s">
        <v>27</v>
      </c>
      <c r="R50" s="6" t="str">
        <f t="shared" si="3"/>
        <v>OK</v>
      </c>
      <c r="S50" s="6" t="s">
        <v>83</v>
      </c>
    </row>
    <row r="51" spans="1:19" ht="33.950000000000003" customHeight="1" x14ac:dyDescent="0.25">
      <c r="A51" s="10">
        <v>50</v>
      </c>
      <c r="B51" s="2" t="s">
        <v>84</v>
      </c>
      <c r="C51" s="2" t="s">
        <v>71</v>
      </c>
      <c r="D51" s="2" t="s">
        <v>72</v>
      </c>
      <c r="E51" s="2" t="s">
        <v>52</v>
      </c>
      <c r="F51" s="10" t="s">
        <v>30</v>
      </c>
      <c r="G51" s="10">
        <v>4</v>
      </c>
      <c r="H51" s="2" t="s">
        <v>38</v>
      </c>
      <c r="I51" s="7" t="str">
        <f>HYPERLINK("mast3r/outputs_extras/eth3d_observatory_b_scen_3/reconstruction.glb","mast3r/outputs_extras/eth3d_observatory_b_scen_3/reconstruction.glb")</f>
        <v>mast3r/outputs_extras/eth3d_observatory_b_scen_3/reconstruction.glb</v>
      </c>
      <c r="J51" s="6" t="s">
        <v>85</v>
      </c>
      <c r="K51" s="3" t="s">
        <v>32</v>
      </c>
      <c r="L51" s="3">
        <v>2</v>
      </c>
      <c r="M51" s="3">
        <v>2</v>
      </c>
      <c r="N51" s="3">
        <v>2</v>
      </c>
      <c r="O51" s="3">
        <v>1</v>
      </c>
      <c r="P51" s="4">
        <f t="shared" si="2"/>
        <v>7</v>
      </c>
      <c r="Q51" s="3" t="s">
        <v>27</v>
      </c>
      <c r="R51" s="6" t="str">
        <f t="shared" si="3"/>
        <v>OK</v>
      </c>
      <c r="S51" s="6" t="s">
        <v>86</v>
      </c>
    </row>
    <row r="52" spans="1:19" ht="33.950000000000003" customHeight="1" x14ac:dyDescent="0.25">
      <c r="A52" s="10">
        <v>51</v>
      </c>
      <c r="B52" s="2" t="s">
        <v>87</v>
      </c>
      <c r="C52" s="2" t="s">
        <v>71</v>
      </c>
      <c r="D52" s="2" t="s">
        <v>72</v>
      </c>
      <c r="E52" s="2" t="s">
        <v>52</v>
      </c>
      <c r="F52" s="10" t="s">
        <v>35</v>
      </c>
      <c r="G52" s="10">
        <v>4</v>
      </c>
      <c r="H52" s="2" t="s">
        <v>38</v>
      </c>
      <c r="I52" s="7" t="str">
        <f>HYPERLINK("mast3r/outputs_extras/eth3d_observatory_c_scen_3/reconstruction.glb","mast3r/outputs_extras/eth3d_observatory_c_scen_3/reconstruction.glb")</f>
        <v>mast3r/outputs_extras/eth3d_observatory_c_scen_3/reconstruction.glb</v>
      </c>
      <c r="J52" s="6" t="s">
        <v>88</v>
      </c>
      <c r="K52" s="3" t="s">
        <v>32</v>
      </c>
      <c r="L52" s="3">
        <v>2</v>
      </c>
      <c r="M52" s="3">
        <v>2</v>
      </c>
      <c r="N52" s="3">
        <v>2</v>
      </c>
      <c r="O52" s="3">
        <v>1</v>
      </c>
      <c r="P52" s="4">
        <f t="shared" si="2"/>
        <v>7</v>
      </c>
      <c r="Q52" s="3" t="s">
        <v>27</v>
      </c>
      <c r="R52" s="6" t="str">
        <f t="shared" si="3"/>
        <v>OK</v>
      </c>
      <c r="S52" s="6" t="s">
        <v>89</v>
      </c>
    </row>
    <row r="53" spans="1:19" ht="33.950000000000003" customHeight="1" x14ac:dyDescent="0.25">
      <c r="A53" s="10">
        <v>52</v>
      </c>
      <c r="B53" s="2" t="s">
        <v>81</v>
      </c>
      <c r="C53" s="2" t="s">
        <v>71</v>
      </c>
      <c r="D53" s="2" t="s">
        <v>72</v>
      </c>
      <c r="E53" s="2" t="s">
        <v>52</v>
      </c>
      <c r="F53" s="10" t="s">
        <v>23</v>
      </c>
      <c r="G53" s="10">
        <v>4</v>
      </c>
      <c r="H53" s="2" t="s">
        <v>39</v>
      </c>
      <c r="I53" s="7" t="str">
        <f>HYPERLINK("mapany/outputs/eth3d_observatory_scen_3/reconstruction.glb","mapany/outputs/eth3d_observatory_scen_3/reconstruction.glb")</f>
        <v>mapany/outputs/eth3d_observatory_scen_3/reconstruction.glb</v>
      </c>
      <c r="J53" s="6" t="s">
        <v>82</v>
      </c>
      <c r="K53" s="3" t="s">
        <v>26</v>
      </c>
      <c r="L53" s="3">
        <v>3</v>
      </c>
      <c r="M53" s="3">
        <v>2</v>
      </c>
      <c r="N53" s="3">
        <v>1</v>
      </c>
      <c r="O53" s="3">
        <v>2</v>
      </c>
      <c r="P53" s="4">
        <f t="shared" si="2"/>
        <v>8</v>
      </c>
      <c r="Q53" s="3" t="s">
        <v>27</v>
      </c>
      <c r="R53" s="6" t="str">
        <f t="shared" si="3"/>
        <v>OK</v>
      </c>
      <c r="S53" s="6" t="s">
        <v>83</v>
      </c>
    </row>
    <row r="54" spans="1:19" ht="33.950000000000003" customHeight="1" x14ac:dyDescent="0.25">
      <c r="A54" s="10">
        <v>53</v>
      </c>
      <c r="B54" s="2" t="s">
        <v>84</v>
      </c>
      <c r="C54" s="2" t="s">
        <v>71</v>
      </c>
      <c r="D54" s="2" t="s">
        <v>72</v>
      </c>
      <c r="E54" s="2" t="s">
        <v>52</v>
      </c>
      <c r="F54" s="10" t="s">
        <v>30</v>
      </c>
      <c r="G54" s="10">
        <v>4</v>
      </c>
      <c r="H54" s="2" t="s">
        <v>39</v>
      </c>
      <c r="I54" s="7" t="str">
        <f>HYPERLINK("mapany/outputs_extras/eth3d_observatory_b_scen_3/reconstruction.glb","mapany/outputs_extras/eth3d_observatory_b_scen_3/reconstruction.glb")</f>
        <v>mapany/outputs_extras/eth3d_observatory_b_scen_3/reconstruction.glb</v>
      </c>
      <c r="J54" s="6" t="s">
        <v>85</v>
      </c>
      <c r="K54" s="3" t="s">
        <v>32</v>
      </c>
      <c r="L54" s="3">
        <v>3</v>
      </c>
      <c r="M54" s="3">
        <v>2</v>
      </c>
      <c r="N54" s="3">
        <v>1</v>
      </c>
      <c r="O54" s="3">
        <v>2</v>
      </c>
      <c r="P54" s="4">
        <f t="shared" si="2"/>
        <v>8</v>
      </c>
      <c r="Q54" s="3" t="s">
        <v>27</v>
      </c>
      <c r="R54" s="6" t="str">
        <f t="shared" si="3"/>
        <v>OK</v>
      </c>
      <c r="S54" s="6" t="s">
        <v>86</v>
      </c>
    </row>
    <row r="55" spans="1:19" ht="33.950000000000003" customHeight="1" x14ac:dyDescent="0.25">
      <c r="A55" s="10">
        <v>54</v>
      </c>
      <c r="B55" s="2" t="s">
        <v>87</v>
      </c>
      <c r="C55" s="2" t="s">
        <v>71</v>
      </c>
      <c r="D55" s="2" t="s">
        <v>72</v>
      </c>
      <c r="E55" s="2" t="s">
        <v>52</v>
      </c>
      <c r="F55" s="10" t="s">
        <v>35</v>
      </c>
      <c r="G55" s="10">
        <v>4</v>
      </c>
      <c r="H55" s="2" t="s">
        <v>39</v>
      </c>
      <c r="I55" s="7" t="str">
        <f>HYPERLINK("mapany/outputs_extras/eth3d_observatory_c_scen_3/reconstruction.glb","mapany/outputs_extras/eth3d_observatory_c_scen_3/reconstruction.glb")</f>
        <v>mapany/outputs_extras/eth3d_observatory_c_scen_3/reconstruction.glb</v>
      </c>
      <c r="J55" s="6" t="s">
        <v>88</v>
      </c>
      <c r="K55" s="3" t="s">
        <v>32</v>
      </c>
      <c r="L55" s="3">
        <v>3</v>
      </c>
      <c r="M55" s="3">
        <v>2</v>
      </c>
      <c r="N55" s="3">
        <v>1</v>
      </c>
      <c r="O55" s="3">
        <v>2</v>
      </c>
      <c r="P55" s="4">
        <f t="shared" si="2"/>
        <v>8</v>
      </c>
      <c r="Q55" s="3" t="s">
        <v>27</v>
      </c>
      <c r="R55" s="6" t="str">
        <f t="shared" si="3"/>
        <v>OK</v>
      </c>
      <c r="S55" s="6" t="s">
        <v>89</v>
      </c>
    </row>
    <row r="56" spans="1:19" ht="33.950000000000003" customHeight="1" x14ac:dyDescent="0.25">
      <c r="A56" s="10">
        <v>55</v>
      </c>
      <c r="B56" s="2" t="s">
        <v>90</v>
      </c>
      <c r="C56" s="2" t="s">
        <v>50</v>
      </c>
      <c r="D56" s="2" t="s">
        <v>91</v>
      </c>
      <c r="E56" s="2" t="s">
        <v>92</v>
      </c>
      <c r="F56" s="10" t="s">
        <v>23</v>
      </c>
      <c r="G56" s="10">
        <v>2</v>
      </c>
      <c r="H56" s="2" t="s">
        <v>24</v>
      </c>
      <c r="I56" s="7" t="str">
        <f>HYPERLINK("vggt/outputs/custom_office_scen_2/reconstruction.glb","vggt/outputs/custom_office_scen_2/reconstruction.glb")</f>
        <v>vggt/outputs/custom_office_scen_2/reconstruction.glb</v>
      </c>
      <c r="J56" s="6" t="s">
        <v>93</v>
      </c>
      <c r="K56" s="3" t="s">
        <v>26</v>
      </c>
      <c r="L56" s="3">
        <v>1</v>
      </c>
      <c r="M56" s="3">
        <v>2</v>
      </c>
      <c r="N56" s="3">
        <v>1</v>
      </c>
      <c r="O56" s="3">
        <v>2</v>
      </c>
      <c r="P56" s="4">
        <f t="shared" si="2"/>
        <v>6</v>
      </c>
      <c r="Q56" s="3" t="s">
        <v>27</v>
      </c>
      <c r="R56" s="6" t="str">
        <f t="shared" si="3"/>
        <v>OK</v>
      </c>
      <c r="S56" s="6" t="s">
        <v>94</v>
      </c>
    </row>
    <row r="57" spans="1:19" ht="33.950000000000003" customHeight="1" x14ac:dyDescent="0.25">
      <c r="A57" s="10">
        <v>56</v>
      </c>
      <c r="B57" s="2" t="s">
        <v>95</v>
      </c>
      <c r="C57" s="2" t="s">
        <v>50</v>
      </c>
      <c r="D57" s="2" t="s">
        <v>91</v>
      </c>
      <c r="E57" s="2" t="s">
        <v>92</v>
      </c>
      <c r="F57" s="10" t="s">
        <v>30</v>
      </c>
      <c r="G57" s="10">
        <v>2</v>
      </c>
      <c r="H57" s="2" t="s">
        <v>24</v>
      </c>
      <c r="I57" s="7" t="str">
        <f>HYPERLINK("vggt/outputs_extras/custom_office_b_scen_2/reconstruction.glb","vggt/outputs_extras/custom_office_b_scen_2/reconstruction.glb")</f>
        <v>vggt/outputs_extras/custom_office_b_scen_2/reconstruction.glb</v>
      </c>
      <c r="J57" s="6" t="s">
        <v>96</v>
      </c>
      <c r="K57" s="3" t="s">
        <v>32</v>
      </c>
      <c r="L57" s="3">
        <v>1</v>
      </c>
      <c r="M57" s="3">
        <v>2</v>
      </c>
      <c r="N57" s="3">
        <v>1</v>
      </c>
      <c r="O57" s="3">
        <v>2</v>
      </c>
      <c r="P57" s="4">
        <f t="shared" si="2"/>
        <v>6</v>
      </c>
      <c r="Q57" s="3" t="s">
        <v>27</v>
      </c>
      <c r="R57" s="6" t="str">
        <f t="shared" si="3"/>
        <v>OK</v>
      </c>
      <c r="S57" s="6" t="s">
        <v>97</v>
      </c>
    </row>
    <row r="58" spans="1:19" ht="33.950000000000003" customHeight="1" x14ac:dyDescent="0.25">
      <c r="A58" s="10">
        <v>57</v>
      </c>
      <c r="B58" s="2" t="s">
        <v>98</v>
      </c>
      <c r="C58" s="2" t="s">
        <v>50</v>
      </c>
      <c r="D58" s="2" t="s">
        <v>91</v>
      </c>
      <c r="E58" s="2" t="s">
        <v>92</v>
      </c>
      <c r="F58" s="10" t="s">
        <v>35</v>
      </c>
      <c r="G58" s="10">
        <v>2</v>
      </c>
      <c r="H58" s="2" t="s">
        <v>24</v>
      </c>
      <c r="I58" s="7" t="str">
        <f>HYPERLINK("vggt/outputs_extras/custom_office_c_scen_2/reconstruction.glb","vggt/outputs_extras/custom_office_c_scen_2/reconstruction.glb")</f>
        <v>vggt/outputs_extras/custom_office_c_scen_2/reconstruction.glb</v>
      </c>
      <c r="J58" s="6" t="s">
        <v>96</v>
      </c>
      <c r="K58" s="3" t="s">
        <v>32</v>
      </c>
      <c r="L58" s="3">
        <v>1</v>
      </c>
      <c r="M58" s="3">
        <v>2</v>
      </c>
      <c r="N58" s="3">
        <v>1</v>
      </c>
      <c r="O58" s="3">
        <v>2</v>
      </c>
      <c r="P58" s="4">
        <f t="shared" si="2"/>
        <v>6</v>
      </c>
      <c r="Q58" s="3" t="s">
        <v>27</v>
      </c>
      <c r="R58" s="6" t="str">
        <f t="shared" si="3"/>
        <v>OK</v>
      </c>
      <c r="S58" s="6" t="s">
        <v>99</v>
      </c>
    </row>
    <row r="59" spans="1:19" ht="33.950000000000003" customHeight="1" x14ac:dyDescent="0.25">
      <c r="A59" s="10">
        <v>58</v>
      </c>
      <c r="B59" s="2" t="s">
        <v>90</v>
      </c>
      <c r="C59" s="2" t="s">
        <v>50</v>
      </c>
      <c r="D59" s="2" t="s">
        <v>91</v>
      </c>
      <c r="E59" s="2" t="s">
        <v>92</v>
      </c>
      <c r="F59" s="10" t="s">
        <v>23</v>
      </c>
      <c r="G59" s="10">
        <v>2</v>
      </c>
      <c r="H59" s="2" t="s">
        <v>38</v>
      </c>
      <c r="I59" s="7" t="str">
        <f>HYPERLINK("mast3r/outputs/custom_office_scen_2/reconstruction.glb","mast3r/outputs/custom_office_scen_2/reconstruction.glb")</f>
        <v>mast3r/outputs/custom_office_scen_2/reconstruction.glb</v>
      </c>
      <c r="J59" s="6" t="s">
        <v>93</v>
      </c>
      <c r="K59" s="3" t="s">
        <v>26</v>
      </c>
      <c r="L59" s="3">
        <v>2</v>
      </c>
      <c r="M59" s="3">
        <v>2</v>
      </c>
      <c r="N59" s="3">
        <v>1</v>
      </c>
      <c r="O59" s="3">
        <v>2</v>
      </c>
      <c r="P59" s="4">
        <f t="shared" si="2"/>
        <v>7</v>
      </c>
      <c r="Q59" s="3" t="s">
        <v>27</v>
      </c>
      <c r="R59" s="6" t="str">
        <f t="shared" si="3"/>
        <v>OK</v>
      </c>
      <c r="S59" s="6" t="s">
        <v>94</v>
      </c>
    </row>
    <row r="60" spans="1:19" ht="33.950000000000003" customHeight="1" x14ac:dyDescent="0.25">
      <c r="A60" s="10">
        <v>59</v>
      </c>
      <c r="B60" s="2" t="s">
        <v>95</v>
      </c>
      <c r="C60" s="2" t="s">
        <v>50</v>
      </c>
      <c r="D60" s="2" t="s">
        <v>91</v>
      </c>
      <c r="E60" s="2" t="s">
        <v>92</v>
      </c>
      <c r="F60" s="10" t="s">
        <v>30</v>
      </c>
      <c r="G60" s="10">
        <v>2</v>
      </c>
      <c r="H60" s="2" t="s">
        <v>38</v>
      </c>
      <c r="I60" s="7" t="str">
        <f>HYPERLINK("mast3r/outputs_extras/custom_office_b_scen_2/reconstruction.glb","mast3r/outputs_extras/custom_office_b_scen_2/reconstruction.glb")</f>
        <v>mast3r/outputs_extras/custom_office_b_scen_2/reconstruction.glb</v>
      </c>
      <c r="J60" s="6" t="s">
        <v>96</v>
      </c>
      <c r="K60" s="3" t="s">
        <v>32</v>
      </c>
      <c r="L60" s="3">
        <v>2</v>
      </c>
      <c r="M60" s="3">
        <v>2</v>
      </c>
      <c r="N60" s="3">
        <v>1</v>
      </c>
      <c r="O60" s="3">
        <v>2</v>
      </c>
      <c r="P60" s="4">
        <f t="shared" si="2"/>
        <v>7</v>
      </c>
      <c r="Q60" s="3" t="s">
        <v>27</v>
      </c>
      <c r="R60" s="6" t="str">
        <f t="shared" si="3"/>
        <v>OK</v>
      </c>
      <c r="S60" s="6" t="s">
        <v>97</v>
      </c>
    </row>
    <row r="61" spans="1:19" ht="33.950000000000003" customHeight="1" x14ac:dyDescent="0.25">
      <c r="A61" s="10">
        <v>60</v>
      </c>
      <c r="B61" s="2" t="s">
        <v>98</v>
      </c>
      <c r="C61" s="2" t="s">
        <v>50</v>
      </c>
      <c r="D61" s="2" t="s">
        <v>91</v>
      </c>
      <c r="E61" s="2" t="s">
        <v>92</v>
      </c>
      <c r="F61" s="10" t="s">
        <v>35</v>
      </c>
      <c r="G61" s="10">
        <v>2</v>
      </c>
      <c r="H61" s="2" t="s">
        <v>38</v>
      </c>
      <c r="I61" s="7" t="str">
        <f>HYPERLINK("mast3r/outputs_extras/custom_office_c_scen_2/reconstruction.glb","mast3r/outputs_extras/custom_office_c_scen_2/reconstruction.glb")</f>
        <v>mast3r/outputs_extras/custom_office_c_scen_2/reconstruction.glb</v>
      </c>
      <c r="J61" s="6" t="s">
        <v>96</v>
      </c>
      <c r="K61" s="3" t="s">
        <v>32</v>
      </c>
      <c r="L61" s="3">
        <v>2</v>
      </c>
      <c r="M61" s="3">
        <v>2</v>
      </c>
      <c r="N61" s="3">
        <v>1</v>
      </c>
      <c r="O61" s="3">
        <v>2</v>
      </c>
      <c r="P61" s="4">
        <f t="shared" si="2"/>
        <v>7</v>
      </c>
      <c r="Q61" s="3" t="s">
        <v>27</v>
      </c>
      <c r="R61" s="6" t="str">
        <f t="shared" si="3"/>
        <v>OK</v>
      </c>
      <c r="S61" s="6" t="s">
        <v>99</v>
      </c>
    </row>
    <row r="62" spans="1:19" ht="33.950000000000003" customHeight="1" x14ac:dyDescent="0.25">
      <c r="A62" s="10">
        <v>61</v>
      </c>
      <c r="B62" s="2" t="s">
        <v>90</v>
      </c>
      <c r="C62" s="2" t="s">
        <v>50</v>
      </c>
      <c r="D62" s="2" t="s">
        <v>91</v>
      </c>
      <c r="E62" s="2" t="s">
        <v>92</v>
      </c>
      <c r="F62" s="10" t="s">
        <v>23</v>
      </c>
      <c r="G62" s="10">
        <v>2</v>
      </c>
      <c r="H62" s="2" t="s">
        <v>39</v>
      </c>
      <c r="I62" s="7" t="str">
        <f>HYPERLINK("mapany/outputs/custom_office_scen_2/reconstruction.glb","mapany/outputs/custom_office_scen_2/reconstruction.glb")</f>
        <v>mapany/outputs/custom_office_scen_2/reconstruction.glb</v>
      </c>
      <c r="J62" s="6" t="s">
        <v>93</v>
      </c>
      <c r="K62" s="3" t="s">
        <v>26</v>
      </c>
      <c r="L62" s="3">
        <v>3</v>
      </c>
      <c r="M62" s="3">
        <v>2</v>
      </c>
      <c r="N62" s="3">
        <v>1</v>
      </c>
      <c r="O62" s="3">
        <v>2</v>
      </c>
      <c r="P62" s="4">
        <f t="shared" si="2"/>
        <v>8</v>
      </c>
      <c r="Q62" s="3" t="s">
        <v>27</v>
      </c>
      <c r="R62" s="6" t="str">
        <f t="shared" si="3"/>
        <v>OK</v>
      </c>
      <c r="S62" s="6" t="s">
        <v>94</v>
      </c>
    </row>
    <row r="63" spans="1:19" ht="33.950000000000003" customHeight="1" x14ac:dyDescent="0.25">
      <c r="A63" s="10">
        <v>62</v>
      </c>
      <c r="B63" s="2" t="s">
        <v>95</v>
      </c>
      <c r="C63" s="2" t="s">
        <v>50</v>
      </c>
      <c r="D63" s="2" t="s">
        <v>91</v>
      </c>
      <c r="E63" s="2" t="s">
        <v>92</v>
      </c>
      <c r="F63" s="10" t="s">
        <v>30</v>
      </c>
      <c r="G63" s="10">
        <v>2</v>
      </c>
      <c r="H63" s="2" t="s">
        <v>39</v>
      </c>
      <c r="I63" s="7" t="str">
        <f>HYPERLINK("mapany/outputs_extras/custom_office_b_scen_2/reconstruction.glb","mapany/outputs_extras/custom_office_b_scen_2/reconstruction.glb")</f>
        <v>mapany/outputs_extras/custom_office_b_scen_2/reconstruction.glb</v>
      </c>
      <c r="J63" s="6" t="s">
        <v>96</v>
      </c>
      <c r="K63" s="3" t="s">
        <v>32</v>
      </c>
      <c r="L63" s="3">
        <v>3</v>
      </c>
      <c r="M63" s="3">
        <v>2</v>
      </c>
      <c r="N63" s="3">
        <v>2</v>
      </c>
      <c r="O63" s="3">
        <v>2</v>
      </c>
      <c r="P63" s="4">
        <f t="shared" si="2"/>
        <v>9</v>
      </c>
      <c r="Q63" s="3" t="s">
        <v>27</v>
      </c>
      <c r="R63" s="6" t="str">
        <f t="shared" si="3"/>
        <v>OK</v>
      </c>
      <c r="S63" s="6" t="s">
        <v>97</v>
      </c>
    </row>
    <row r="64" spans="1:19" ht="33.950000000000003" customHeight="1" x14ac:dyDescent="0.25">
      <c r="A64" s="10">
        <v>63</v>
      </c>
      <c r="B64" s="2" t="s">
        <v>98</v>
      </c>
      <c r="C64" s="2" t="s">
        <v>50</v>
      </c>
      <c r="D64" s="2" t="s">
        <v>91</v>
      </c>
      <c r="E64" s="2" t="s">
        <v>92</v>
      </c>
      <c r="F64" s="10" t="s">
        <v>35</v>
      </c>
      <c r="G64" s="10">
        <v>2</v>
      </c>
      <c r="H64" s="2" t="s">
        <v>39</v>
      </c>
      <c r="I64" s="7" t="str">
        <f>HYPERLINK("mapany/outputs_extras/custom_office_c_scen_2/reconstruction.glb","mapany/outputs_extras/custom_office_c_scen_2/reconstruction.glb")</f>
        <v>mapany/outputs_extras/custom_office_c_scen_2/reconstruction.glb</v>
      </c>
      <c r="J64" s="6" t="s">
        <v>96</v>
      </c>
      <c r="K64" s="3" t="s">
        <v>32</v>
      </c>
      <c r="L64" s="3">
        <v>3</v>
      </c>
      <c r="M64" s="3">
        <v>2</v>
      </c>
      <c r="N64" s="3">
        <v>2</v>
      </c>
      <c r="O64" s="3">
        <v>2</v>
      </c>
      <c r="P64" s="4">
        <f t="shared" si="2"/>
        <v>9</v>
      </c>
      <c r="Q64" s="3" t="s">
        <v>27</v>
      </c>
      <c r="R64" s="6" t="str">
        <f t="shared" si="3"/>
        <v>OK</v>
      </c>
      <c r="S64" s="6" t="s">
        <v>99</v>
      </c>
    </row>
    <row r="65" spans="1:19" ht="33.950000000000003" customHeight="1" x14ac:dyDescent="0.25">
      <c r="A65" s="10">
        <v>64</v>
      </c>
      <c r="B65" s="2" t="s">
        <v>100</v>
      </c>
      <c r="C65" s="2" t="s">
        <v>50</v>
      </c>
      <c r="D65" s="2" t="s">
        <v>91</v>
      </c>
      <c r="E65" s="2" t="s">
        <v>92</v>
      </c>
      <c r="F65" s="10" t="s">
        <v>23</v>
      </c>
      <c r="G65" s="10">
        <v>4</v>
      </c>
      <c r="H65" s="2" t="s">
        <v>24</v>
      </c>
      <c r="I65" s="7" t="str">
        <f>HYPERLINK("vggt/outputs/custom_office_scen_3/reconstruction.glb","vggt/outputs/custom_office_scen_3/reconstruction.glb")</f>
        <v>vggt/outputs/custom_office_scen_3/reconstruction.glb</v>
      </c>
      <c r="J65" s="6" t="s">
        <v>101</v>
      </c>
      <c r="K65" s="3" t="s">
        <v>26</v>
      </c>
      <c r="L65" s="3">
        <v>1</v>
      </c>
      <c r="M65" s="3">
        <v>2</v>
      </c>
      <c r="N65" s="3">
        <v>2</v>
      </c>
      <c r="O65" s="3">
        <v>1</v>
      </c>
      <c r="P65" s="4">
        <f t="shared" si="2"/>
        <v>6</v>
      </c>
      <c r="Q65" s="3" t="s">
        <v>27</v>
      </c>
      <c r="R65" s="6" t="str">
        <f t="shared" si="3"/>
        <v>OK</v>
      </c>
      <c r="S65" s="6" t="s">
        <v>102</v>
      </c>
    </row>
    <row r="66" spans="1:19" ht="33.950000000000003" customHeight="1" x14ac:dyDescent="0.25">
      <c r="A66" s="10">
        <v>65</v>
      </c>
      <c r="B66" s="2" t="s">
        <v>103</v>
      </c>
      <c r="C66" s="2" t="s">
        <v>50</v>
      </c>
      <c r="D66" s="2" t="s">
        <v>91</v>
      </c>
      <c r="E66" s="2" t="s">
        <v>92</v>
      </c>
      <c r="F66" s="10" t="s">
        <v>30</v>
      </c>
      <c r="G66" s="10">
        <v>4</v>
      </c>
      <c r="H66" s="2" t="s">
        <v>24</v>
      </c>
      <c r="I66" s="7" t="str">
        <f>HYPERLINK("vggt/outputs_extras/custom_office_b_scen_3/reconstruction.glb","vggt/outputs_extras/custom_office_b_scen_3/reconstruction.glb")</f>
        <v>vggt/outputs_extras/custom_office_b_scen_3/reconstruction.glb</v>
      </c>
      <c r="J66" s="6" t="s">
        <v>104</v>
      </c>
      <c r="K66" s="3" t="s">
        <v>32</v>
      </c>
      <c r="L66" s="3">
        <v>1</v>
      </c>
      <c r="M66" s="3">
        <v>2</v>
      </c>
      <c r="N66" s="3">
        <v>2</v>
      </c>
      <c r="O66" s="3">
        <v>1</v>
      </c>
      <c r="P66" s="4">
        <f t="shared" ref="P66:P97" si="4">IF($K66="Niepowodzenie rekonstrukcji",0,IF(COUNT($L66:$O66)=4,SUM($L66:$O66),""))</f>
        <v>6</v>
      </c>
      <c r="Q66" s="3" t="s">
        <v>27</v>
      </c>
      <c r="R66" s="6" t="str">
        <f t="shared" ref="R66:R97" si="5">IF($K66="Niepowodzenie rekonstrukcji",IF(COUNTIF($L66:$O66,0)=4,"OK","Ustaw C, G, A, D = 0"),IF(COUNT($L66:$O66)=0,"Nieoceniony",IF(COUNT($L66:$O66)=4,"OK","Uzupełnij oceny")))</f>
        <v>OK</v>
      </c>
      <c r="S66" s="6" t="s">
        <v>105</v>
      </c>
    </row>
    <row r="67" spans="1:19" ht="33.950000000000003" customHeight="1" x14ac:dyDescent="0.25">
      <c r="A67" s="10">
        <v>66</v>
      </c>
      <c r="B67" s="2" t="s">
        <v>106</v>
      </c>
      <c r="C67" s="2" t="s">
        <v>50</v>
      </c>
      <c r="D67" s="2" t="s">
        <v>91</v>
      </c>
      <c r="E67" s="2" t="s">
        <v>92</v>
      </c>
      <c r="F67" s="10" t="s">
        <v>35</v>
      </c>
      <c r="G67" s="10">
        <v>4</v>
      </c>
      <c r="H67" s="2" t="s">
        <v>24</v>
      </c>
      <c r="I67" s="7" t="str">
        <f>HYPERLINK("vggt/outputs_extras/custom_office_c_scen_3/reconstruction.glb","vggt/outputs_extras/custom_office_c_scen_3/reconstruction.glb")</f>
        <v>vggt/outputs_extras/custom_office_c_scen_3/reconstruction.glb</v>
      </c>
      <c r="J67" s="6" t="s">
        <v>107</v>
      </c>
      <c r="K67" s="3" t="s">
        <v>32</v>
      </c>
      <c r="L67" s="3">
        <v>1</v>
      </c>
      <c r="M67" s="3">
        <v>2</v>
      </c>
      <c r="N67" s="3">
        <v>2</v>
      </c>
      <c r="O67" s="3">
        <v>1</v>
      </c>
      <c r="P67" s="4">
        <f t="shared" si="4"/>
        <v>6</v>
      </c>
      <c r="Q67" s="3" t="s">
        <v>27</v>
      </c>
      <c r="R67" s="6" t="str">
        <f t="shared" si="5"/>
        <v>OK</v>
      </c>
      <c r="S67" s="6" t="s">
        <v>108</v>
      </c>
    </row>
    <row r="68" spans="1:19" ht="33.950000000000003" customHeight="1" x14ac:dyDescent="0.25">
      <c r="A68" s="10">
        <v>67</v>
      </c>
      <c r="B68" s="2" t="s">
        <v>100</v>
      </c>
      <c r="C68" s="2" t="s">
        <v>50</v>
      </c>
      <c r="D68" s="2" t="s">
        <v>91</v>
      </c>
      <c r="E68" s="2" t="s">
        <v>92</v>
      </c>
      <c r="F68" s="10" t="s">
        <v>23</v>
      </c>
      <c r="G68" s="10">
        <v>4</v>
      </c>
      <c r="H68" s="2" t="s">
        <v>38</v>
      </c>
      <c r="I68" s="7" t="str">
        <f>HYPERLINK("mast3r/outputs/custom_office_scen_3/reconstruction.glb","mast3r/outputs/custom_office_scen_3/reconstruction.glb")</f>
        <v>mast3r/outputs/custom_office_scen_3/reconstruction.glb</v>
      </c>
      <c r="J68" s="6" t="s">
        <v>101</v>
      </c>
      <c r="K68" s="3" t="s">
        <v>26</v>
      </c>
      <c r="L68" s="3">
        <v>2</v>
      </c>
      <c r="M68" s="3">
        <v>1</v>
      </c>
      <c r="N68" s="3">
        <v>0</v>
      </c>
      <c r="O68" s="3">
        <v>1</v>
      </c>
      <c r="P68" s="4">
        <f t="shared" si="4"/>
        <v>4</v>
      </c>
      <c r="Q68" s="3" t="s">
        <v>27</v>
      </c>
      <c r="R68" s="6" t="str">
        <f t="shared" si="5"/>
        <v>OK</v>
      </c>
      <c r="S68" s="6" t="s">
        <v>102</v>
      </c>
    </row>
    <row r="69" spans="1:19" ht="33.950000000000003" customHeight="1" x14ac:dyDescent="0.25">
      <c r="A69" s="10">
        <v>68</v>
      </c>
      <c r="B69" s="2" t="s">
        <v>103</v>
      </c>
      <c r="C69" s="2" t="s">
        <v>50</v>
      </c>
      <c r="D69" s="2" t="s">
        <v>91</v>
      </c>
      <c r="E69" s="2" t="s">
        <v>92</v>
      </c>
      <c r="F69" s="10" t="s">
        <v>30</v>
      </c>
      <c r="G69" s="10">
        <v>4</v>
      </c>
      <c r="H69" s="2" t="s">
        <v>38</v>
      </c>
      <c r="I69" s="7" t="str">
        <f>HYPERLINK("mast3r/outputs_extras/custom_office_b_scen_3/reconstruction.glb","mast3r/outputs_extras/custom_office_b_scen_3/reconstruction.glb")</f>
        <v>mast3r/outputs_extras/custom_office_b_scen_3/reconstruction.glb</v>
      </c>
      <c r="J69" s="6" t="s">
        <v>104</v>
      </c>
      <c r="K69" s="3" t="s">
        <v>32</v>
      </c>
      <c r="L69" s="3">
        <v>2</v>
      </c>
      <c r="M69" s="3">
        <v>1</v>
      </c>
      <c r="N69" s="3">
        <v>1</v>
      </c>
      <c r="O69" s="3">
        <v>1</v>
      </c>
      <c r="P69" s="4">
        <f t="shared" si="4"/>
        <v>5</v>
      </c>
      <c r="Q69" s="3" t="s">
        <v>27</v>
      </c>
      <c r="R69" s="6" t="str">
        <f t="shared" si="5"/>
        <v>OK</v>
      </c>
      <c r="S69" s="6" t="s">
        <v>105</v>
      </c>
    </row>
    <row r="70" spans="1:19" ht="33.950000000000003" customHeight="1" x14ac:dyDescent="0.25">
      <c r="A70" s="10">
        <v>69</v>
      </c>
      <c r="B70" s="2" t="s">
        <v>106</v>
      </c>
      <c r="C70" s="2" t="s">
        <v>50</v>
      </c>
      <c r="D70" s="2" t="s">
        <v>91</v>
      </c>
      <c r="E70" s="2" t="s">
        <v>92</v>
      </c>
      <c r="F70" s="10" t="s">
        <v>35</v>
      </c>
      <c r="G70" s="10">
        <v>4</v>
      </c>
      <c r="H70" s="2" t="s">
        <v>38</v>
      </c>
      <c r="I70" s="7" t="str">
        <f>HYPERLINK("mast3r/outputs_extras/custom_office_c_scen_3/reconstruction.glb","mast3r/outputs_extras/custom_office_c_scen_3/reconstruction.glb")</f>
        <v>mast3r/outputs_extras/custom_office_c_scen_3/reconstruction.glb</v>
      </c>
      <c r="J70" s="6" t="s">
        <v>107</v>
      </c>
      <c r="K70" s="3" t="s">
        <v>32</v>
      </c>
      <c r="L70" s="3">
        <v>2</v>
      </c>
      <c r="M70" s="3">
        <v>2</v>
      </c>
      <c r="N70" s="3">
        <v>1</v>
      </c>
      <c r="O70" s="3">
        <v>2</v>
      </c>
      <c r="P70" s="4">
        <f t="shared" si="4"/>
        <v>7</v>
      </c>
      <c r="Q70" s="3" t="s">
        <v>27</v>
      </c>
      <c r="R70" s="6" t="str">
        <f t="shared" si="5"/>
        <v>OK</v>
      </c>
      <c r="S70" s="6" t="s">
        <v>108</v>
      </c>
    </row>
    <row r="71" spans="1:19" ht="33.950000000000003" customHeight="1" x14ac:dyDescent="0.25">
      <c r="A71" s="10">
        <v>70</v>
      </c>
      <c r="B71" s="2" t="s">
        <v>100</v>
      </c>
      <c r="C71" s="2" t="s">
        <v>50</v>
      </c>
      <c r="D71" s="2" t="s">
        <v>91</v>
      </c>
      <c r="E71" s="2" t="s">
        <v>92</v>
      </c>
      <c r="F71" s="10" t="s">
        <v>23</v>
      </c>
      <c r="G71" s="10">
        <v>4</v>
      </c>
      <c r="H71" s="2" t="s">
        <v>39</v>
      </c>
      <c r="I71" s="7" t="str">
        <f>HYPERLINK("mapany/outputs/custom_office_scen_3/reconstruction.glb","mapany/outputs/custom_office_scen_3/reconstruction.glb")</f>
        <v>mapany/outputs/custom_office_scen_3/reconstruction.glb</v>
      </c>
      <c r="J71" s="6" t="s">
        <v>101</v>
      </c>
      <c r="K71" s="3" t="s">
        <v>26</v>
      </c>
      <c r="L71" s="3">
        <v>3</v>
      </c>
      <c r="M71" s="3">
        <v>2</v>
      </c>
      <c r="N71" s="3">
        <v>1</v>
      </c>
      <c r="O71" s="3">
        <v>2</v>
      </c>
      <c r="P71" s="4">
        <f t="shared" si="4"/>
        <v>8</v>
      </c>
      <c r="Q71" s="3" t="s">
        <v>27</v>
      </c>
      <c r="R71" s="6" t="str">
        <f t="shared" si="5"/>
        <v>OK</v>
      </c>
      <c r="S71" s="6" t="s">
        <v>102</v>
      </c>
    </row>
    <row r="72" spans="1:19" ht="33.950000000000003" customHeight="1" x14ac:dyDescent="0.25">
      <c r="A72" s="10">
        <v>71</v>
      </c>
      <c r="B72" s="2" t="s">
        <v>103</v>
      </c>
      <c r="C72" s="2" t="s">
        <v>50</v>
      </c>
      <c r="D72" s="2" t="s">
        <v>91</v>
      </c>
      <c r="E72" s="2" t="s">
        <v>92</v>
      </c>
      <c r="F72" s="10" t="s">
        <v>30</v>
      </c>
      <c r="G72" s="10">
        <v>4</v>
      </c>
      <c r="H72" s="2" t="s">
        <v>39</v>
      </c>
      <c r="I72" s="7" t="str">
        <f>HYPERLINK("mapany/outputs_extras/custom_office_b_scen_3/reconstruction.glb","mapany/outputs_extras/custom_office_b_scen_3/reconstruction.glb")</f>
        <v>mapany/outputs_extras/custom_office_b_scen_3/reconstruction.glb</v>
      </c>
      <c r="J72" s="6" t="s">
        <v>104</v>
      </c>
      <c r="K72" s="3" t="s">
        <v>32</v>
      </c>
      <c r="L72" s="3">
        <v>3</v>
      </c>
      <c r="M72" s="3">
        <v>2</v>
      </c>
      <c r="N72" s="3">
        <v>1</v>
      </c>
      <c r="O72" s="3">
        <v>2</v>
      </c>
      <c r="P72" s="4">
        <f t="shared" si="4"/>
        <v>8</v>
      </c>
      <c r="Q72" s="3" t="s">
        <v>27</v>
      </c>
      <c r="R72" s="6" t="str">
        <f t="shared" si="5"/>
        <v>OK</v>
      </c>
      <c r="S72" s="6" t="s">
        <v>105</v>
      </c>
    </row>
    <row r="73" spans="1:19" ht="33.950000000000003" customHeight="1" x14ac:dyDescent="0.25">
      <c r="A73" s="10">
        <v>72</v>
      </c>
      <c r="B73" s="2" t="s">
        <v>106</v>
      </c>
      <c r="C73" s="2" t="s">
        <v>50</v>
      </c>
      <c r="D73" s="2" t="s">
        <v>91</v>
      </c>
      <c r="E73" s="2" t="s">
        <v>92</v>
      </c>
      <c r="F73" s="10" t="s">
        <v>35</v>
      </c>
      <c r="G73" s="10">
        <v>4</v>
      </c>
      <c r="H73" s="2" t="s">
        <v>39</v>
      </c>
      <c r="I73" s="7" t="str">
        <f>HYPERLINK("mapany/outputs_extras/custom_office_c_scen_3/reconstruction.glb","mapany/outputs_extras/custom_office_c_scen_3/reconstruction.glb")</f>
        <v>mapany/outputs_extras/custom_office_c_scen_3/reconstruction.glb</v>
      </c>
      <c r="J73" s="6" t="s">
        <v>107</v>
      </c>
      <c r="K73" s="3" t="s">
        <v>32</v>
      </c>
      <c r="L73" s="3">
        <v>3</v>
      </c>
      <c r="M73" s="3">
        <v>2</v>
      </c>
      <c r="N73" s="3">
        <v>1</v>
      </c>
      <c r="O73" s="3">
        <v>2</v>
      </c>
      <c r="P73" s="4">
        <f t="shared" si="4"/>
        <v>8</v>
      </c>
      <c r="Q73" s="3" t="s">
        <v>27</v>
      </c>
      <c r="R73" s="6" t="str">
        <f t="shared" si="5"/>
        <v>OK</v>
      </c>
      <c r="S73" s="6" t="s">
        <v>108</v>
      </c>
    </row>
    <row r="74" spans="1:19" ht="33.950000000000003" customHeight="1" x14ac:dyDescent="0.25">
      <c r="A74" s="10">
        <v>73</v>
      </c>
      <c r="B74" s="2" t="s">
        <v>109</v>
      </c>
      <c r="C74" s="2" t="s">
        <v>71</v>
      </c>
      <c r="D74" s="2" t="s">
        <v>110</v>
      </c>
      <c r="E74" s="2" t="s">
        <v>92</v>
      </c>
      <c r="F74" s="10" t="s">
        <v>23</v>
      </c>
      <c r="G74" s="10">
        <v>2</v>
      </c>
      <c r="H74" s="2" t="s">
        <v>24</v>
      </c>
      <c r="I74" s="7" t="str">
        <f>HYPERLINK("vggt/outputs/eth3d_old_computer_scen_2/reconstruction.glb","vggt/outputs/eth3d_old_computer_scen_2/reconstruction.glb")</f>
        <v>vggt/outputs/eth3d_old_computer_scen_2/reconstruction.glb</v>
      </c>
      <c r="J74" s="6" t="s">
        <v>111</v>
      </c>
      <c r="K74" s="3" t="s">
        <v>26</v>
      </c>
      <c r="L74" s="3">
        <v>2</v>
      </c>
      <c r="M74" s="3">
        <v>2</v>
      </c>
      <c r="N74" s="3">
        <v>1</v>
      </c>
      <c r="O74" s="3">
        <v>2</v>
      </c>
      <c r="P74" s="4">
        <f>IF($K74="Niepowodzenie rekonstrukcji",0,IF(COUNT($L74:$O74)=4,SUM($L74:$O74),""))</f>
        <v>7</v>
      </c>
      <c r="Q74" s="3" t="s">
        <v>27</v>
      </c>
      <c r="R74" s="6" t="str">
        <f>IF($K74="Niepowodzenie rekonstrukcji",IF(COUNTIF($L74:$O74,0)=4,"OK","Ustaw C, G, A, D = 0"),IF(COUNT($L74:$O74)=0,"Nieoceniony",IF(COUNT($L74:$O74)=4,"OK","Uzupełnij oceny")))</f>
        <v>OK</v>
      </c>
      <c r="S74" s="6" t="s">
        <v>112</v>
      </c>
    </row>
    <row r="75" spans="1:19" ht="33.950000000000003" customHeight="1" x14ac:dyDescent="0.25">
      <c r="A75" s="10">
        <v>74</v>
      </c>
      <c r="B75" s="2" t="s">
        <v>113</v>
      </c>
      <c r="C75" s="2" t="s">
        <v>71</v>
      </c>
      <c r="D75" s="2" t="s">
        <v>110</v>
      </c>
      <c r="E75" s="2" t="s">
        <v>92</v>
      </c>
      <c r="F75" s="10" t="s">
        <v>30</v>
      </c>
      <c r="G75" s="10">
        <v>2</v>
      </c>
      <c r="H75" s="2" t="s">
        <v>24</v>
      </c>
      <c r="I75" s="7" t="str">
        <f>HYPERLINK("vggt/outputs_extras/eth3d_old_computer_b_scen_2/reconstruction.glb","vggt/outputs_extras/eth3d_old_computer_b_scen_2/reconstruction.glb")</f>
        <v>vggt/outputs_extras/eth3d_old_computer_b_scen_2/reconstruction.glb</v>
      </c>
      <c r="J75" s="6" t="s">
        <v>114</v>
      </c>
      <c r="K75" s="3" t="s">
        <v>32</v>
      </c>
      <c r="L75" s="3">
        <v>2</v>
      </c>
      <c r="M75" s="3">
        <v>2</v>
      </c>
      <c r="N75" s="3">
        <v>1</v>
      </c>
      <c r="O75" s="3">
        <v>2</v>
      </c>
      <c r="P75" s="4">
        <f>IF($K75="Niepowodzenie rekonstrukcji",0,IF(COUNT($L75:$O75)=4,SUM($L75:$O75),""))</f>
        <v>7</v>
      </c>
      <c r="Q75" s="3" t="s">
        <v>27</v>
      </c>
      <c r="R75" s="6" t="str">
        <f>IF($K75="Niepowodzenie rekonstrukcji",IF(COUNTIF($L75:$O75,0)=4,"OK","Ustaw C, G, A, D = 0"),IF(COUNT($L75:$O75)=0,"Nieoceniony",IF(COUNT($L75:$O75)=4,"OK","Uzupełnij oceny")))</f>
        <v>OK</v>
      </c>
      <c r="S75" s="6" t="s">
        <v>115</v>
      </c>
    </row>
    <row r="76" spans="1:19" ht="33.950000000000003" customHeight="1" x14ac:dyDescent="0.25">
      <c r="A76" s="10">
        <v>75</v>
      </c>
      <c r="B76" s="2" t="s">
        <v>116</v>
      </c>
      <c r="C76" s="2" t="s">
        <v>71</v>
      </c>
      <c r="D76" s="2" t="s">
        <v>110</v>
      </c>
      <c r="E76" s="2" t="s">
        <v>92</v>
      </c>
      <c r="F76" s="10" t="s">
        <v>35</v>
      </c>
      <c r="G76" s="10">
        <v>2</v>
      </c>
      <c r="H76" s="2" t="s">
        <v>24</v>
      </c>
      <c r="I76" s="7" t="str">
        <f>HYPERLINK("vggt/outputs_extras/eth3d_old_computer_c_scen_2/reconstruction.glb","vggt/outputs_extras/eth3d_old_computer_c_scen_2/reconstruction.glb")</f>
        <v>vggt/outputs_extras/eth3d_old_computer_c_scen_2/reconstruction.glb</v>
      </c>
      <c r="J76" s="6" t="s">
        <v>117</v>
      </c>
      <c r="K76" s="3" t="s">
        <v>32</v>
      </c>
      <c r="L76" s="3">
        <v>1</v>
      </c>
      <c r="M76" s="3">
        <v>2</v>
      </c>
      <c r="N76" s="3">
        <v>2</v>
      </c>
      <c r="O76" s="3">
        <v>2</v>
      </c>
      <c r="P76" s="4">
        <f t="shared" si="4"/>
        <v>7</v>
      </c>
      <c r="Q76" s="3" t="s">
        <v>27</v>
      </c>
      <c r="R76" s="6" t="str">
        <f t="shared" si="5"/>
        <v>OK</v>
      </c>
      <c r="S76" s="6" t="s">
        <v>118</v>
      </c>
    </row>
    <row r="77" spans="1:19" ht="33.950000000000003" customHeight="1" x14ac:dyDescent="0.25">
      <c r="A77" s="10">
        <v>76</v>
      </c>
      <c r="B77" s="2" t="s">
        <v>109</v>
      </c>
      <c r="C77" s="2" t="s">
        <v>71</v>
      </c>
      <c r="D77" s="2" t="s">
        <v>110</v>
      </c>
      <c r="E77" s="2" t="s">
        <v>92</v>
      </c>
      <c r="F77" s="10" t="s">
        <v>23</v>
      </c>
      <c r="G77" s="10">
        <v>2</v>
      </c>
      <c r="H77" s="2" t="s">
        <v>38</v>
      </c>
      <c r="I77" s="7" t="str">
        <f>HYPERLINK("mast3r/outputs/eth3d_old_computer_scen_2/reconstruction.glb","mast3r/outputs/eth3d_old_computer_scen_2/reconstruction.glb")</f>
        <v>mast3r/outputs/eth3d_old_computer_scen_2/reconstruction.glb</v>
      </c>
      <c r="J77" s="6" t="s">
        <v>111</v>
      </c>
      <c r="K77" s="3" t="s">
        <v>26</v>
      </c>
      <c r="L77" s="3">
        <v>2</v>
      </c>
      <c r="M77" s="3">
        <v>1</v>
      </c>
      <c r="N77" s="3">
        <v>1</v>
      </c>
      <c r="O77" s="3">
        <v>2</v>
      </c>
      <c r="P77" s="4">
        <f t="shared" si="4"/>
        <v>6</v>
      </c>
      <c r="Q77" s="3" t="s">
        <v>27</v>
      </c>
      <c r="R77" s="6" t="str">
        <f t="shared" si="5"/>
        <v>OK</v>
      </c>
      <c r="S77" s="6" t="s">
        <v>112</v>
      </c>
    </row>
    <row r="78" spans="1:19" ht="33.950000000000003" customHeight="1" x14ac:dyDescent="0.25">
      <c r="A78" s="10">
        <v>77</v>
      </c>
      <c r="B78" s="2" t="s">
        <v>113</v>
      </c>
      <c r="C78" s="2" t="s">
        <v>71</v>
      </c>
      <c r="D78" s="2" t="s">
        <v>110</v>
      </c>
      <c r="E78" s="2" t="s">
        <v>92</v>
      </c>
      <c r="F78" s="10" t="s">
        <v>30</v>
      </c>
      <c r="G78" s="10">
        <v>2</v>
      </c>
      <c r="H78" s="2" t="s">
        <v>38</v>
      </c>
      <c r="I78" s="7" t="str">
        <f>HYPERLINK("mast3r/outputs_extras/eth3d_old_computer_b_scen_2/reconstruction.glb","mast3r/outputs_extras/eth3d_old_computer_b_scen_2/reconstruction.glb")</f>
        <v>mast3r/outputs_extras/eth3d_old_computer_b_scen_2/reconstruction.glb</v>
      </c>
      <c r="J78" s="6" t="s">
        <v>114</v>
      </c>
      <c r="K78" s="3" t="s">
        <v>32</v>
      </c>
      <c r="L78" s="3">
        <v>2</v>
      </c>
      <c r="M78" s="3">
        <v>1</v>
      </c>
      <c r="N78" s="3">
        <v>1</v>
      </c>
      <c r="O78" s="3">
        <v>2</v>
      </c>
      <c r="P78" s="4">
        <f>IF($K78="Niepowodzenie rekonstrukcji",0,IF(COUNT($L78:$O78)=4,SUM($L78:$O78),""))</f>
        <v>6</v>
      </c>
      <c r="Q78" s="3" t="s">
        <v>27</v>
      </c>
      <c r="R78" s="6" t="str">
        <f>IF($K78="Niepowodzenie rekonstrukcji",IF(COUNTIF($L78:$O78,0)=4,"OK","Ustaw C, G, A, D = 0"),IF(COUNT($L78:$O78)=0,"Nieoceniony",IF(COUNT($L78:$O78)=4,"OK","Uzupełnij oceny")))</f>
        <v>OK</v>
      </c>
      <c r="S78" s="6" t="s">
        <v>115</v>
      </c>
    </row>
    <row r="79" spans="1:19" ht="33.950000000000003" customHeight="1" x14ac:dyDescent="0.25">
      <c r="A79" s="10">
        <v>78</v>
      </c>
      <c r="B79" s="2" t="s">
        <v>116</v>
      </c>
      <c r="C79" s="2" t="s">
        <v>71</v>
      </c>
      <c r="D79" s="2" t="s">
        <v>110</v>
      </c>
      <c r="E79" s="2" t="s">
        <v>92</v>
      </c>
      <c r="F79" s="10" t="s">
        <v>35</v>
      </c>
      <c r="G79" s="10">
        <v>2</v>
      </c>
      <c r="H79" s="2" t="s">
        <v>38</v>
      </c>
      <c r="I79" s="7" t="str">
        <f>HYPERLINK("mast3r/outputs_extras/eth3d_old_computer_c_scen_2/reconstruction.glb","mast3r/outputs_extras/eth3d_old_computer_c_scen_2/reconstruction.glb")</f>
        <v>mast3r/outputs_extras/eth3d_old_computer_c_scen_2/reconstruction.glb</v>
      </c>
      <c r="J79" s="6" t="s">
        <v>117</v>
      </c>
      <c r="K79" s="3" t="s">
        <v>32</v>
      </c>
      <c r="L79" s="3">
        <v>1</v>
      </c>
      <c r="M79" s="3">
        <v>1</v>
      </c>
      <c r="N79" s="3">
        <v>2</v>
      </c>
      <c r="O79" s="3">
        <v>2</v>
      </c>
      <c r="P79" s="4">
        <f t="shared" si="4"/>
        <v>6</v>
      </c>
      <c r="Q79" s="3" t="s">
        <v>27</v>
      </c>
      <c r="R79" s="6" t="str">
        <f t="shared" si="5"/>
        <v>OK</v>
      </c>
      <c r="S79" s="6" t="s">
        <v>118</v>
      </c>
    </row>
    <row r="80" spans="1:19" ht="33.950000000000003" customHeight="1" x14ac:dyDescent="0.25">
      <c r="A80" s="10">
        <v>79</v>
      </c>
      <c r="B80" s="2" t="s">
        <v>109</v>
      </c>
      <c r="C80" s="2" t="s">
        <v>71</v>
      </c>
      <c r="D80" s="2" t="s">
        <v>110</v>
      </c>
      <c r="E80" s="2" t="s">
        <v>92</v>
      </c>
      <c r="F80" s="10" t="s">
        <v>23</v>
      </c>
      <c r="G80" s="10">
        <v>2</v>
      </c>
      <c r="H80" s="2" t="s">
        <v>39</v>
      </c>
      <c r="I80" s="7" t="str">
        <f>HYPERLINK("mapany/outputs/eth3d_old_computer_scen_2/reconstruction.glb","mapany/outputs/eth3d_old_computer_scen_2/reconstruction.glb")</f>
        <v>mapany/outputs/eth3d_old_computer_scen_2/reconstruction.glb</v>
      </c>
      <c r="J80" s="6" t="s">
        <v>111</v>
      </c>
      <c r="K80" s="3" t="s">
        <v>26</v>
      </c>
      <c r="L80" s="3">
        <v>3</v>
      </c>
      <c r="M80" s="3">
        <v>2</v>
      </c>
      <c r="N80" s="3">
        <v>3</v>
      </c>
      <c r="O80" s="3">
        <v>2</v>
      </c>
      <c r="P80" s="4">
        <f t="shared" si="4"/>
        <v>10</v>
      </c>
      <c r="Q80" s="3" t="s">
        <v>27</v>
      </c>
      <c r="R80" s="6" t="str">
        <f t="shared" si="5"/>
        <v>OK</v>
      </c>
      <c r="S80" s="6" t="s">
        <v>112</v>
      </c>
    </row>
    <row r="81" spans="1:19" ht="33.950000000000003" customHeight="1" x14ac:dyDescent="0.25">
      <c r="A81" s="10">
        <v>80</v>
      </c>
      <c r="B81" s="2" t="s">
        <v>113</v>
      </c>
      <c r="C81" s="2" t="s">
        <v>71</v>
      </c>
      <c r="D81" s="2" t="s">
        <v>110</v>
      </c>
      <c r="E81" s="2" t="s">
        <v>92</v>
      </c>
      <c r="F81" s="10" t="s">
        <v>30</v>
      </c>
      <c r="G81" s="10">
        <v>2</v>
      </c>
      <c r="H81" s="2" t="s">
        <v>39</v>
      </c>
      <c r="I81" s="7" t="str">
        <f>HYPERLINK("mapany/outputs_extras/eth3d_old_computer_b_scen_2/reconstruction.glb","mapany/outputs_extras/eth3d_old_computer_b_scen_2/reconstruction.glb")</f>
        <v>mapany/outputs_extras/eth3d_old_computer_b_scen_2/reconstruction.glb</v>
      </c>
      <c r="J81" s="6" t="s">
        <v>114</v>
      </c>
      <c r="K81" s="3" t="s">
        <v>32</v>
      </c>
      <c r="L81" s="3">
        <v>3</v>
      </c>
      <c r="M81" s="3">
        <v>2</v>
      </c>
      <c r="N81" s="3">
        <v>2</v>
      </c>
      <c r="O81" s="3">
        <v>2</v>
      </c>
      <c r="P81" s="4">
        <f t="shared" si="4"/>
        <v>9</v>
      </c>
      <c r="Q81" s="3" t="s">
        <v>27</v>
      </c>
      <c r="R81" s="6" t="str">
        <f t="shared" si="5"/>
        <v>OK</v>
      </c>
      <c r="S81" s="6" t="s">
        <v>115</v>
      </c>
    </row>
    <row r="82" spans="1:19" ht="33.950000000000003" customHeight="1" x14ac:dyDescent="0.25">
      <c r="A82" s="10">
        <v>81</v>
      </c>
      <c r="B82" s="2" t="s">
        <v>116</v>
      </c>
      <c r="C82" s="2" t="s">
        <v>71</v>
      </c>
      <c r="D82" s="2" t="s">
        <v>110</v>
      </c>
      <c r="E82" s="2" t="s">
        <v>92</v>
      </c>
      <c r="F82" s="10" t="s">
        <v>35</v>
      </c>
      <c r="G82" s="10">
        <v>2</v>
      </c>
      <c r="H82" s="2" t="s">
        <v>39</v>
      </c>
      <c r="I82" s="7" t="str">
        <f>HYPERLINK("mapany/outputs_extras/eth3d_old_computer_c_scen_2/reconstruction.glb","mapany/outputs_extras/eth3d_old_computer_c_scen_2/reconstruction.glb")</f>
        <v>mapany/outputs_extras/eth3d_old_computer_c_scen_2/reconstruction.glb</v>
      </c>
      <c r="J82" s="6" t="s">
        <v>117</v>
      </c>
      <c r="K82" s="3" t="s">
        <v>32</v>
      </c>
      <c r="L82" s="3">
        <v>3</v>
      </c>
      <c r="M82" s="3">
        <v>2</v>
      </c>
      <c r="N82" s="3">
        <v>3</v>
      </c>
      <c r="O82" s="3">
        <v>2</v>
      </c>
      <c r="P82" s="4">
        <f t="shared" si="4"/>
        <v>10</v>
      </c>
      <c r="Q82" s="3" t="s">
        <v>27</v>
      </c>
      <c r="R82" s="6" t="str">
        <f t="shared" si="5"/>
        <v>OK</v>
      </c>
      <c r="S82" s="6" t="s">
        <v>118</v>
      </c>
    </row>
    <row r="83" spans="1:19" ht="33.950000000000003" customHeight="1" x14ac:dyDescent="0.25">
      <c r="A83" s="10">
        <v>82</v>
      </c>
      <c r="B83" s="2" t="s">
        <v>119</v>
      </c>
      <c r="C83" s="2" t="s">
        <v>71</v>
      </c>
      <c r="D83" s="2" t="s">
        <v>110</v>
      </c>
      <c r="E83" s="2" t="s">
        <v>92</v>
      </c>
      <c r="F83" s="10" t="s">
        <v>23</v>
      </c>
      <c r="G83" s="10">
        <v>4</v>
      </c>
      <c r="H83" s="2" t="s">
        <v>24</v>
      </c>
      <c r="I83" s="7" t="str">
        <f>HYPERLINK("vggt/outputs/eth3d_old_computer_scen_3/reconstruction.glb","vggt/outputs/eth3d_old_computer_scen_3/reconstruction.glb")</f>
        <v>vggt/outputs/eth3d_old_computer_scen_3/reconstruction.glb</v>
      </c>
      <c r="J83" s="6" t="s">
        <v>120</v>
      </c>
      <c r="K83" s="3" t="s">
        <v>26</v>
      </c>
      <c r="L83" s="3">
        <v>1</v>
      </c>
      <c r="M83" s="3">
        <v>2</v>
      </c>
      <c r="N83" s="3">
        <v>1</v>
      </c>
      <c r="O83" s="3">
        <v>2</v>
      </c>
      <c r="P83" s="4">
        <f t="shared" si="4"/>
        <v>6</v>
      </c>
      <c r="Q83" s="3" t="s">
        <v>27</v>
      </c>
      <c r="R83" s="6" t="str">
        <f t="shared" si="5"/>
        <v>OK</v>
      </c>
      <c r="S83" s="6" t="s">
        <v>121</v>
      </c>
    </row>
    <row r="84" spans="1:19" ht="33.950000000000003" customHeight="1" x14ac:dyDescent="0.25">
      <c r="A84" s="10">
        <v>83</v>
      </c>
      <c r="B84" s="2" t="s">
        <v>122</v>
      </c>
      <c r="C84" s="2" t="s">
        <v>71</v>
      </c>
      <c r="D84" s="2" t="s">
        <v>110</v>
      </c>
      <c r="E84" s="2" t="s">
        <v>92</v>
      </c>
      <c r="F84" s="10" t="s">
        <v>30</v>
      </c>
      <c r="G84" s="10">
        <v>4</v>
      </c>
      <c r="H84" s="2" t="s">
        <v>24</v>
      </c>
      <c r="I84" s="7" t="str">
        <f>HYPERLINK("vggt/outputs_extras/eth3d_old_computer_b_scen_3/reconstruction.glb","vggt/outputs_extras/eth3d_old_computer_b_scen_3/reconstruction.glb")</f>
        <v>vggt/outputs_extras/eth3d_old_computer_b_scen_3/reconstruction.glb</v>
      </c>
      <c r="J84" s="6" t="s">
        <v>123</v>
      </c>
      <c r="K84" s="3" t="s">
        <v>32</v>
      </c>
      <c r="L84" s="3">
        <v>1</v>
      </c>
      <c r="M84" s="3">
        <v>2</v>
      </c>
      <c r="N84" s="3">
        <v>1</v>
      </c>
      <c r="O84" s="3">
        <v>2</v>
      </c>
      <c r="P84" s="4">
        <f t="shared" si="4"/>
        <v>6</v>
      </c>
      <c r="Q84" s="3" t="s">
        <v>27</v>
      </c>
      <c r="R84" s="6" t="str">
        <f t="shared" si="5"/>
        <v>OK</v>
      </c>
      <c r="S84" s="6" t="s">
        <v>124</v>
      </c>
    </row>
    <row r="85" spans="1:19" ht="33.950000000000003" customHeight="1" x14ac:dyDescent="0.25">
      <c r="A85" s="10">
        <v>84</v>
      </c>
      <c r="B85" s="2" t="s">
        <v>125</v>
      </c>
      <c r="C85" s="2" t="s">
        <v>71</v>
      </c>
      <c r="D85" s="2" t="s">
        <v>110</v>
      </c>
      <c r="E85" s="2" t="s">
        <v>92</v>
      </c>
      <c r="F85" s="10" t="s">
        <v>35</v>
      </c>
      <c r="G85" s="10">
        <v>4</v>
      </c>
      <c r="H85" s="2" t="s">
        <v>24</v>
      </c>
      <c r="I85" s="7" t="str">
        <f>HYPERLINK("vggt/outputs_extras/eth3d_old_computer_c_scen_3/reconstruction.glb","vggt/outputs_extras/eth3d_old_computer_c_scen_3/reconstruction.glb")</f>
        <v>vggt/outputs_extras/eth3d_old_computer_c_scen_3/reconstruction.glb</v>
      </c>
      <c r="J85" s="6" t="s">
        <v>126</v>
      </c>
      <c r="K85" s="3" t="s">
        <v>32</v>
      </c>
      <c r="L85" s="3">
        <v>1</v>
      </c>
      <c r="M85" s="3">
        <v>2</v>
      </c>
      <c r="N85" s="3">
        <v>1</v>
      </c>
      <c r="O85" s="3">
        <v>2</v>
      </c>
      <c r="P85" s="4">
        <f t="shared" si="4"/>
        <v>6</v>
      </c>
      <c r="Q85" s="3" t="s">
        <v>27</v>
      </c>
      <c r="R85" s="6" t="str">
        <f t="shared" si="5"/>
        <v>OK</v>
      </c>
      <c r="S85" s="6" t="s">
        <v>127</v>
      </c>
    </row>
    <row r="86" spans="1:19" ht="33.950000000000003" customHeight="1" x14ac:dyDescent="0.25">
      <c r="A86" s="10">
        <v>85</v>
      </c>
      <c r="B86" s="2" t="s">
        <v>119</v>
      </c>
      <c r="C86" s="2" t="s">
        <v>71</v>
      </c>
      <c r="D86" s="2" t="s">
        <v>110</v>
      </c>
      <c r="E86" s="2" t="s">
        <v>92</v>
      </c>
      <c r="F86" s="10" t="s">
        <v>23</v>
      </c>
      <c r="G86" s="10">
        <v>4</v>
      </c>
      <c r="H86" s="2" t="s">
        <v>38</v>
      </c>
      <c r="I86" s="7" t="str">
        <f>HYPERLINK("mast3r/outputs/eth3d_old_computer_scen_3/reconstruction.glb","mast3r/outputs/eth3d_old_computer_scen_3/reconstruction.glb")</f>
        <v>mast3r/outputs/eth3d_old_computer_scen_3/reconstruction.glb</v>
      </c>
      <c r="J86" s="6" t="s">
        <v>120</v>
      </c>
      <c r="K86" s="3" t="s">
        <v>26</v>
      </c>
      <c r="L86" s="3">
        <v>1</v>
      </c>
      <c r="M86" s="3">
        <v>1</v>
      </c>
      <c r="N86" s="3">
        <v>1</v>
      </c>
      <c r="O86" s="3">
        <v>2</v>
      </c>
      <c r="P86" s="4">
        <f t="shared" si="4"/>
        <v>5</v>
      </c>
      <c r="Q86" s="3" t="s">
        <v>27</v>
      </c>
      <c r="R86" s="6" t="str">
        <f t="shared" si="5"/>
        <v>OK</v>
      </c>
      <c r="S86" s="6" t="s">
        <v>121</v>
      </c>
    </row>
    <row r="87" spans="1:19" ht="33.950000000000003" customHeight="1" x14ac:dyDescent="0.25">
      <c r="A87" s="10">
        <v>86</v>
      </c>
      <c r="B87" s="2" t="s">
        <v>122</v>
      </c>
      <c r="C87" s="2" t="s">
        <v>71</v>
      </c>
      <c r="D87" s="2" t="s">
        <v>110</v>
      </c>
      <c r="E87" s="2" t="s">
        <v>92</v>
      </c>
      <c r="F87" s="10" t="s">
        <v>30</v>
      </c>
      <c r="G87" s="10">
        <v>4</v>
      </c>
      <c r="H87" s="2" t="s">
        <v>38</v>
      </c>
      <c r="I87" s="7" t="str">
        <f>HYPERLINK("mast3r/outputs_extras/eth3d_old_computer_b_scen_3/reconstruction.glb","mast3r/outputs_extras/eth3d_old_computer_b_scen_3/reconstruction.glb")</f>
        <v>mast3r/outputs_extras/eth3d_old_computer_b_scen_3/reconstruction.glb</v>
      </c>
      <c r="J87" s="6" t="s">
        <v>123</v>
      </c>
      <c r="K87" s="3" t="s">
        <v>32</v>
      </c>
      <c r="L87" s="3">
        <v>0</v>
      </c>
      <c r="M87" s="3">
        <v>1</v>
      </c>
      <c r="N87" s="3">
        <v>1</v>
      </c>
      <c r="O87" s="3">
        <v>2</v>
      </c>
      <c r="P87" s="4">
        <f t="shared" si="4"/>
        <v>4</v>
      </c>
      <c r="Q87" s="3" t="s">
        <v>27</v>
      </c>
      <c r="R87" s="6" t="str">
        <f t="shared" si="5"/>
        <v>OK</v>
      </c>
      <c r="S87" s="6" t="s">
        <v>124</v>
      </c>
    </row>
    <row r="88" spans="1:19" ht="33.950000000000003" customHeight="1" x14ac:dyDescent="0.25">
      <c r="A88" s="10">
        <v>87</v>
      </c>
      <c r="B88" s="2" t="s">
        <v>125</v>
      </c>
      <c r="C88" s="2" t="s">
        <v>71</v>
      </c>
      <c r="D88" s="2" t="s">
        <v>110</v>
      </c>
      <c r="E88" s="2" t="s">
        <v>92</v>
      </c>
      <c r="F88" s="10" t="s">
        <v>35</v>
      </c>
      <c r="G88" s="10">
        <v>4</v>
      </c>
      <c r="H88" s="2" t="s">
        <v>38</v>
      </c>
      <c r="I88" s="7" t="str">
        <f>HYPERLINK("mast3r/outputs_extras/eth3d_old_computer_c_scen_3/reconstruction.glb","mast3r/outputs_extras/eth3d_old_computer_c_scen_3/reconstruction.glb")</f>
        <v>mast3r/outputs_extras/eth3d_old_computer_c_scen_3/reconstruction.glb</v>
      </c>
      <c r="J88" s="6" t="s">
        <v>126</v>
      </c>
      <c r="K88" s="3" t="s">
        <v>32</v>
      </c>
      <c r="L88" s="3">
        <v>1</v>
      </c>
      <c r="M88" s="3">
        <v>1</v>
      </c>
      <c r="N88" s="3">
        <v>2</v>
      </c>
      <c r="O88" s="3">
        <v>2</v>
      </c>
      <c r="P88" s="4">
        <f t="shared" si="4"/>
        <v>6</v>
      </c>
      <c r="Q88" s="3" t="s">
        <v>27</v>
      </c>
      <c r="R88" s="6" t="str">
        <f t="shared" si="5"/>
        <v>OK</v>
      </c>
      <c r="S88" s="6" t="s">
        <v>127</v>
      </c>
    </row>
    <row r="89" spans="1:19" ht="33.950000000000003" customHeight="1" x14ac:dyDescent="0.25">
      <c r="A89" s="10">
        <v>88</v>
      </c>
      <c r="B89" s="2" t="s">
        <v>119</v>
      </c>
      <c r="C89" s="2" t="s">
        <v>71</v>
      </c>
      <c r="D89" s="2" t="s">
        <v>110</v>
      </c>
      <c r="E89" s="2" t="s">
        <v>92</v>
      </c>
      <c r="F89" s="10" t="s">
        <v>23</v>
      </c>
      <c r="G89" s="10">
        <v>4</v>
      </c>
      <c r="H89" s="2" t="s">
        <v>39</v>
      </c>
      <c r="I89" s="7" t="str">
        <f>HYPERLINK("mapany/outputs/eth3d_old_computer_scen_3/reconstruction.glb","mapany/outputs/eth3d_old_computer_scen_3/reconstruction.glb")</f>
        <v>mapany/outputs/eth3d_old_computer_scen_3/reconstruction.glb</v>
      </c>
      <c r="J89" s="6" t="s">
        <v>120</v>
      </c>
      <c r="K89" s="3" t="s">
        <v>26</v>
      </c>
      <c r="L89" s="3">
        <v>3</v>
      </c>
      <c r="M89" s="3">
        <v>2</v>
      </c>
      <c r="N89" s="3">
        <v>3</v>
      </c>
      <c r="O89" s="3">
        <v>2</v>
      </c>
      <c r="P89" s="4">
        <f t="shared" si="4"/>
        <v>10</v>
      </c>
      <c r="Q89" s="3" t="s">
        <v>27</v>
      </c>
      <c r="R89" s="6" t="str">
        <f t="shared" si="5"/>
        <v>OK</v>
      </c>
      <c r="S89" s="6" t="s">
        <v>121</v>
      </c>
    </row>
    <row r="90" spans="1:19" ht="33.950000000000003" customHeight="1" x14ac:dyDescent="0.25">
      <c r="A90" s="10">
        <v>89</v>
      </c>
      <c r="B90" s="2" t="s">
        <v>122</v>
      </c>
      <c r="C90" s="2" t="s">
        <v>71</v>
      </c>
      <c r="D90" s="2" t="s">
        <v>110</v>
      </c>
      <c r="E90" s="2" t="s">
        <v>92</v>
      </c>
      <c r="F90" s="10" t="s">
        <v>30</v>
      </c>
      <c r="G90" s="10">
        <v>4</v>
      </c>
      <c r="H90" s="2" t="s">
        <v>39</v>
      </c>
      <c r="I90" s="7" t="str">
        <f>HYPERLINK("mapany/outputs_extras/eth3d_old_computer_b_scen_3/reconstruction.glb","mapany/outputs_extras/eth3d_old_computer_b_scen_3/reconstruction.glb")</f>
        <v>mapany/outputs_extras/eth3d_old_computer_b_scen_3/reconstruction.glb</v>
      </c>
      <c r="J90" s="6" t="s">
        <v>123</v>
      </c>
      <c r="K90" s="3" t="s">
        <v>32</v>
      </c>
      <c r="L90" s="3">
        <v>3</v>
      </c>
      <c r="M90" s="3">
        <v>2</v>
      </c>
      <c r="N90" s="3">
        <v>2</v>
      </c>
      <c r="O90" s="3">
        <v>2</v>
      </c>
      <c r="P90" s="4">
        <f t="shared" si="4"/>
        <v>9</v>
      </c>
      <c r="Q90" s="3" t="s">
        <v>27</v>
      </c>
      <c r="R90" s="6" t="str">
        <f t="shared" si="5"/>
        <v>OK</v>
      </c>
      <c r="S90" s="6" t="s">
        <v>124</v>
      </c>
    </row>
    <row r="91" spans="1:19" ht="33.950000000000003" customHeight="1" x14ac:dyDescent="0.25">
      <c r="A91" s="10">
        <v>90</v>
      </c>
      <c r="B91" s="2" t="s">
        <v>125</v>
      </c>
      <c r="C91" s="2" t="s">
        <v>71</v>
      </c>
      <c r="D91" s="2" t="s">
        <v>110</v>
      </c>
      <c r="E91" s="2" t="s">
        <v>92</v>
      </c>
      <c r="F91" s="10" t="s">
        <v>35</v>
      </c>
      <c r="G91" s="10">
        <v>4</v>
      </c>
      <c r="H91" s="2" t="s">
        <v>39</v>
      </c>
      <c r="I91" s="7" t="str">
        <f>HYPERLINK("mapany/outputs_extras/eth3d_old_computer_c_scen_3/reconstruction.glb","mapany/outputs_extras/eth3d_old_computer_c_scen_3/reconstruction.glb")</f>
        <v>mapany/outputs_extras/eth3d_old_computer_c_scen_3/reconstruction.glb</v>
      </c>
      <c r="J91" s="6" t="s">
        <v>126</v>
      </c>
      <c r="K91" s="3" t="s">
        <v>32</v>
      </c>
      <c r="L91" s="3">
        <v>3</v>
      </c>
      <c r="M91" s="3">
        <v>2</v>
      </c>
      <c r="N91" s="3">
        <v>3</v>
      </c>
      <c r="O91" s="3">
        <v>2</v>
      </c>
      <c r="P91" s="4">
        <f t="shared" si="4"/>
        <v>10</v>
      </c>
      <c r="Q91" s="3" t="s">
        <v>27</v>
      </c>
      <c r="R91" s="6" t="str">
        <f t="shared" si="5"/>
        <v>OK</v>
      </c>
      <c r="S91" s="6" t="s">
        <v>127</v>
      </c>
    </row>
    <row r="92" spans="1:19" ht="33.950000000000003" customHeight="1" x14ac:dyDescent="0.25">
      <c r="A92" s="10">
        <v>91</v>
      </c>
      <c r="B92" s="2" t="s">
        <v>128</v>
      </c>
      <c r="C92" s="2" t="s">
        <v>20</v>
      </c>
      <c r="D92" s="2" t="s">
        <v>129</v>
      </c>
      <c r="E92" s="2" t="s">
        <v>92</v>
      </c>
      <c r="F92" s="10" t="s">
        <v>23</v>
      </c>
      <c r="G92" s="10">
        <v>2</v>
      </c>
      <c r="H92" s="2" t="s">
        <v>24</v>
      </c>
      <c r="I92" s="7" t="str">
        <f>HYPERLINK("vggt/outputs/llff_room_scen_2/reconstruction.glb","vggt/outputs/llff_room_scen_2/reconstruction.glb")</f>
        <v>vggt/outputs/llff_room_scen_2/reconstruction.glb</v>
      </c>
      <c r="J92" s="6" t="s">
        <v>130</v>
      </c>
      <c r="K92" s="3" t="s">
        <v>26</v>
      </c>
      <c r="L92" s="3">
        <v>1</v>
      </c>
      <c r="M92" s="3">
        <v>1</v>
      </c>
      <c r="N92" s="3">
        <v>3</v>
      </c>
      <c r="O92" s="3">
        <v>1</v>
      </c>
      <c r="P92" s="4">
        <f t="shared" si="4"/>
        <v>6</v>
      </c>
      <c r="Q92" s="3" t="s">
        <v>27</v>
      </c>
      <c r="R92" s="6" t="str">
        <f t="shared" si="5"/>
        <v>OK</v>
      </c>
      <c r="S92" s="6" t="s">
        <v>131</v>
      </c>
    </row>
    <row r="93" spans="1:19" ht="33.950000000000003" customHeight="1" x14ac:dyDescent="0.25">
      <c r="A93" s="10">
        <v>92</v>
      </c>
      <c r="B93" s="2" t="s">
        <v>132</v>
      </c>
      <c r="C93" s="2" t="s">
        <v>20</v>
      </c>
      <c r="D93" s="2" t="s">
        <v>129</v>
      </c>
      <c r="E93" s="2" t="s">
        <v>92</v>
      </c>
      <c r="F93" s="10" t="s">
        <v>30</v>
      </c>
      <c r="G93" s="10">
        <v>2</v>
      </c>
      <c r="H93" s="2" t="s">
        <v>24</v>
      </c>
      <c r="I93" s="7" t="str">
        <f>HYPERLINK("vggt/outputs_extras/llff_room_b_scen_2/reconstruction.glb","vggt/outputs_extras/llff_room_b_scen_2/reconstruction.glb")</f>
        <v>vggt/outputs_extras/llff_room_b_scen_2/reconstruction.glb</v>
      </c>
      <c r="J93" s="6" t="s">
        <v>133</v>
      </c>
      <c r="K93" s="3" t="s">
        <v>32</v>
      </c>
      <c r="L93" s="3">
        <v>1</v>
      </c>
      <c r="M93" s="3">
        <v>1</v>
      </c>
      <c r="N93" s="3">
        <v>3</v>
      </c>
      <c r="O93" s="3">
        <v>1</v>
      </c>
      <c r="P93" s="4">
        <f t="shared" si="4"/>
        <v>6</v>
      </c>
      <c r="Q93" s="3" t="s">
        <v>27</v>
      </c>
      <c r="R93" s="6" t="str">
        <f t="shared" si="5"/>
        <v>OK</v>
      </c>
      <c r="S93" s="6" t="s">
        <v>134</v>
      </c>
    </row>
    <row r="94" spans="1:19" ht="33.950000000000003" customHeight="1" x14ac:dyDescent="0.25">
      <c r="A94" s="10">
        <v>93</v>
      </c>
      <c r="B94" s="2" t="s">
        <v>135</v>
      </c>
      <c r="C94" s="2" t="s">
        <v>20</v>
      </c>
      <c r="D94" s="2" t="s">
        <v>129</v>
      </c>
      <c r="E94" s="2" t="s">
        <v>92</v>
      </c>
      <c r="F94" s="10" t="s">
        <v>35</v>
      </c>
      <c r="G94" s="10">
        <v>2</v>
      </c>
      <c r="H94" s="2" t="s">
        <v>24</v>
      </c>
      <c r="I94" s="7" t="str">
        <f>HYPERLINK("vggt/outputs_extras/llff_room_c_scen_2/reconstruction.glb","vggt/outputs_extras/llff_room_c_scen_2/reconstruction.glb")</f>
        <v>vggt/outputs_extras/llff_room_c_scen_2/reconstruction.glb</v>
      </c>
      <c r="J94" s="6" t="s">
        <v>136</v>
      </c>
      <c r="K94" s="3" t="s">
        <v>32</v>
      </c>
      <c r="L94" s="3">
        <v>1</v>
      </c>
      <c r="M94" s="3">
        <v>1</v>
      </c>
      <c r="N94" s="3">
        <v>3</v>
      </c>
      <c r="O94" s="3">
        <v>1</v>
      </c>
      <c r="P94" s="4">
        <f t="shared" si="4"/>
        <v>6</v>
      </c>
      <c r="Q94" s="3" t="s">
        <v>27</v>
      </c>
      <c r="R94" s="6" t="str">
        <f t="shared" si="5"/>
        <v>OK</v>
      </c>
      <c r="S94" s="6" t="s">
        <v>137</v>
      </c>
    </row>
    <row r="95" spans="1:19" ht="33.950000000000003" customHeight="1" x14ac:dyDescent="0.25">
      <c r="A95" s="10">
        <v>94</v>
      </c>
      <c r="B95" s="2" t="s">
        <v>128</v>
      </c>
      <c r="C95" s="2" t="s">
        <v>20</v>
      </c>
      <c r="D95" s="2" t="s">
        <v>129</v>
      </c>
      <c r="E95" s="2" t="s">
        <v>92</v>
      </c>
      <c r="F95" s="10" t="s">
        <v>23</v>
      </c>
      <c r="G95" s="10">
        <v>2</v>
      </c>
      <c r="H95" s="2" t="s">
        <v>38</v>
      </c>
      <c r="I95" s="7" t="str">
        <f>HYPERLINK("mast3r/outputs/llff_room_scen_2/reconstruction.glb","mast3r/outputs/llff_room_scen_2/reconstruction.glb")</f>
        <v>mast3r/outputs/llff_room_scen_2/reconstruction.glb</v>
      </c>
      <c r="J95" s="6" t="s">
        <v>130</v>
      </c>
      <c r="K95" s="3" t="s">
        <v>26</v>
      </c>
      <c r="L95" s="3">
        <v>1</v>
      </c>
      <c r="M95" s="3">
        <v>1</v>
      </c>
      <c r="N95" s="3">
        <v>2</v>
      </c>
      <c r="O95" s="3">
        <v>1</v>
      </c>
      <c r="P95" s="4">
        <f t="shared" si="4"/>
        <v>5</v>
      </c>
      <c r="Q95" s="3" t="s">
        <v>27</v>
      </c>
      <c r="R95" s="6" t="str">
        <f t="shared" si="5"/>
        <v>OK</v>
      </c>
      <c r="S95" s="6" t="s">
        <v>131</v>
      </c>
    </row>
    <row r="96" spans="1:19" ht="33.950000000000003" customHeight="1" x14ac:dyDescent="0.25">
      <c r="A96" s="10">
        <v>95</v>
      </c>
      <c r="B96" s="2" t="s">
        <v>132</v>
      </c>
      <c r="C96" s="2" t="s">
        <v>20</v>
      </c>
      <c r="D96" s="2" t="s">
        <v>129</v>
      </c>
      <c r="E96" s="2" t="s">
        <v>92</v>
      </c>
      <c r="F96" s="10" t="s">
        <v>30</v>
      </c>
      <c r="G96" s="10">
        <v>2</v>
      </c>
      <c r="H96" s="2" t="s">
        <v>38</v>
      </c>
      <c r="I96" s="7" t="str">
        <f>HYPERLINK("mast3r/outputs_extras/llff_room_b_scen_2/reconstruction.glb","mast3r/outputs_extras/llff_room_b_scen_2/reconstruction.glb")</f>
        <v>mast3r/outputs_extras/llff_room_b_scen_2/reconstruction.glb</v>
      </c>
      <c r="J96" s="6" t="s">
        <v>133</v>
      </c>
      <c r="K96" s="3" t="s">
        <v>32</v>
      </c>
      <c r="L96" s="3">
        <v>1</v>
      </c>
      <c r="M96" s="3">
        <v>1</v>
      </c>
      <c r="N96" s="3">
        <v>2</v>
      </c>
      <c r="O96" s="3">
        <v>1</v>
      </c>
      <c r="P96" s="4">
        <f t="shared" si="4"/>
        <v>5</v>
      </c>
      <c r="Q96" s="3" t="s">
        <v>27</v>
      </c>
      <c r="R96" s="6" t="str">
        <f t="shared" si="5"/>
        <v>OK</v>
      </c>
      <c r="S96" s="6" t="s">
        <v>134</v>
      </c>
    </row>
    <row r="97" spans="1:19" ht="33.950000000000003" customHeight="1" x14ac:dyDescent="0.25">
      <c r="A97" s="10">
        <v>96</v>
      </c>
      <c r="B97" s="2" t="s">
        <v>135</v>
      </c>
      <c r="C97" s="2" t="s">
        <v>20</v>
      </c>
      <c r="D97" s="2" t="s">
        <v>129</v>
      </c>
      <c r="E97" s="2" t="s">
        <v>92</v>
      </c>
      <c r="F97" s="10" t="s">
        <v>35</v>
      </c>
      <c r="G97" s="10">
        <v>2</v>
      </c>
      <c r="H97" s="2" t="s">
        <v>38</v>
      </c>
      <c r="I97" s="7" t="str">
        <f>HYPERLINK("mast3r/outputs_extras/llff_room_c_scen_2/reconstruction.glb","mast3r/outputs_extras/llff_room_c_scen_2/reconstruction.glb")</f>
        <v>mast3r/outputs_extras/llff_room_c_scen_2/reconstruction.glb</v>
      </c>
      <c r="J97" s="6" t="s">
        <v>136</v>
      </c>
      <c r="K97" s="3" t="s">
        <v>32</v>
      </c>
      <c r="L97" s="3">
        <v>1</v>
      </c>
      <c r="M97" s="3">
        <v>1</v>
      </c>
      <c r="N97" s="3">
        <v>2</v>
      </c>
      <c r="O97" s="3">
        <v>1</v>
      </c>
      <c r="P97" s="4">
        <f t="shared" si="4"/>
        <v>5</v>
      </c>
      <c r="Q97" s="3" t="s">
        <v>27</v>
      </c>
      <c r="R97" s="6" t="str">
        <f t="shared" si="5"/>
        <v>OK</v>
      </c>
      <c r="S97" s="6" t="s">
        <v>137</v>
      </c>
    </row>
    <row r="98" spans="1:19" ht="33.950000000000003" customHeight="1" x14ac:dyDescent="0.25">
      <c r="A98" s="10">
        <v>97</v>
      </c>
      <c r="B98" s="2" t="s">
        <v>128</v>
      </c>
      <c r="C98" s="2" t="s">
        <v>20</v>
      </c>
      <c r="D98" s="2" t="s">
        <v>129</v>
      </c>
      <c r="E98" s="2" t="s">
        <v>92</v>
      </c>
      <c r="F98" s="10" t="s">
        <v>23</v>
      </c>
      <c r="G98" s="10">
        <v>2</v>
      </c>
      <c r="H98" s="2" t="s">
        <v>39</v>
      </c>
      <c r="I98" s="7" t="str">
        <f>HYPERLINK("mapany/outputs/llff_room_scen_2/reconstruction.glb","mapany/outputs/llff_room_scen_2/reconstruction.glb")</f>
        <v>mapany/outputs/llff_room_scen_2/reconstruction.glb</v>
      </c>
      <c r="J98" s="6" t="s">
        <v>130</v>
      </c>
      <c r="K98" s="3" t="s">
        <v>26</v>
      </c>
      <c r="L98" s="3">
        <v>2</v>
      </c>
      <c r="M98" s="3">
        <v>2</v>
      </c>
      <c r="N98" s="3">
        <v>2</v>
      </c>
      <c r="O98" s="3">
        <v>2</v>
      </c>
      <c r="P98" s="4">
        <f t="shared" ref="P98:P129" si="6">IF($K98="Niepowodzenie rekonstrukcji",0,IF(COUNT($L98:$O98)=4,SUM($L98:$O98),""))</f>
        <v>8</v>
      </c>
      <c r="Q98" s="3" t="s">
        <v>27</v>
      </c>
      <c r="R98" s="6" t="str">
        <f t="shared" ref="R98:R129" si="7">IF($K98="Niepowodzenie rekonstrukcji",IF(COUNTIF($L98:$O98,0)=4,"OK","Ustaw C, G, A, D = 0"),IF(COUNT($L98:$O98)=0,"Nieoceniony",IF(COUNT($L98:$O98)=4,"OK","Uzupełnij oceny")))</f>
        <v>OK</v>
      </c>
      <c r="S98" s="6" t="s">
        <v>131</v>
      </c>
    </row>
    <row r="99" spans="1:19" ht="33.950000000000003" customHeight="1" x14ac:dyDescent="0.25">
      <c r="A99" s="10">
        <v>98</v>
      </c>
      <c r="B99" s="2" t="s">
        <v>132</v>
      </c>
      <c r="C99" s="2" t="s">
        <v>20</v>
      </c>
      <c r="D99" s="2" t="s">
        <v>129</v>
      </c>
      <c r="E99" s="2" t="s">
        <v>92</v>
      </c>
      <c r="F99" s="10" t="s">
        <v>30</v>
      </c>
      <c r="G99" s="10">
        <v>2</v>
      </c>
      <c r="H99" s="2" t="s">
        <v>39</v>
      </c>
      <c r="I99" s="7" t="str">
        <f>HYPERLINK("mapany/outputs_extras/llff_room_b_scen_2/reconstruction.glb","mapany/outputs_extras/llff_room_b_scen_2/reconstruction.glb")</f>
        <v>mapany/outputs_extras/llff_room_b_scen_2/reconstruction.glb</v>
      </c>
      <c r="J99" s="6" t="s">
        <v>133</v>
      </c>
      <c r="K99" s="3" t="s">
        <v>32</v>
      </c>
      <c r="L99" s="3">
        <v>2</v>
      </c>
      <c r="M99" s="3">
        <v>2</v>
      </c>
      <c r="N99" s="3">
        <v>2</v>
      </c>
      <c r="O99" s="3">
        <v>2</v>
      </c>
      <c r="P99" s="4">
        <f t="shared" si="6"/>
        <v>8</v>
      </c>
      <c r="Q99" s="3" t="s">
        <v>27</v>
      </c>
      <c r="R99" s="6" t="str">
        <f t="shared" si="7"/>
        <v>OK</v>
      </c>
      <c r="S99" s="6" t="s">
        <v>134</v>
      </c>
    </row>
    <row r="100" spans="1:19" ht="33.950000000000003" customHeight="1" x14ac:dyDescent="0.25">
      <c r="A100" s="10">
        <v>99</v>
      </c>
      <c r="B100" s="2" t="s">
        <v>135</v>
      </c>
      <c r="C100" s="2" t="s">
        <v>20</v>
      </c>
      <c r="D100" s="2" t="s">
        <v>129</v>
      </c>
      <c r="E100" s="2" t="s">
        <v>92</v>
      </c>
      <c r="F100" s="10" t="s">
        <v>35</v>
      </c>
      <c r="G100" s="10">
        <v>2</v>
      </c>
      <c r="H100" s="2" t="s">
        <v>39</v>
      </c>
      <c r="I100" s="7" t="str">
        <f>HYPERLINK("mapany/outputs_extras/llff_room_c_scen_2/reconstruction.glb","mapany/outputs_extras/llff_room_c_scen_2/reconstruction.glb")</f>
        <v>mapany/outputs_extras/llff_room_c_scen_2/reconstruction.glb</v>
      </c>
      <c r="J100" s="6" t="s">
        <v>136</v>
      </c>
      <c r="K100" s="3" t="s">
        <v>32</v>
      </c>
      <c r="L100" s="3">
        <v>2</v>
      </c>
      <c r="M100" s="3">
        <v>2</v>
      </c>
      <c r="N100" s="3">
        <v>2</v>
      </c>
      <c r="O100" s="3">
        <v>2</v>
      </c>
      <c r="P100" s="4">
        <f t="shared" si="6"/>
        <v>8</v>
      </c>
      <c r="Q100" s="3" t="s">
        <v>27</v>
      </c>
      <c r="R100" s="6" t="str">
        <f t="shared" si="7"/>
        <v>OK</v>
      </c>
      <c r="S100" s="6" t="s">
        <v>137</v>
      </c>
    </row>
    <row r="101" spans="1:19" ht="33.950000000000003" customHeight="1" x14ac:dyDescent="0.25">
      <c r="A101" s="10">
        <v>100</v>
      </c>
      <c r="B101" s="2" t="s">
        <v>138</v>
      </c>
      <c r="C101" s="2" t="s">
        <v>20</v>
      </c>
      <c r="D101" s="2" t="s">
        <v>129</v>
      </c>
      <c r="E101" s="2" t="s">
        <v>92</v>
      </c>
      <c r="F101" s="10" t="s">
        <v>23</v>
      </c>
      <c r="G101" s="10">
        <v>4</v>
      </c>
      <c r="H101" s="2" t="s">
        <v>24</v>
      </c>
      <c r="I101" s="7" t="str">
        <f>HYPERLINK("vggt/outputs/llff_room_scen_3/reconstruction.glb","vggt/outputs/llff_room_scen_3/reconstruction.glb")</f>
        <v>vggt/outputs/llff_room_scen_3/reconstruction.glb</v>
      </c>
      <c r="J101" s="6" t="s">
        <v>139</v>
      </c>
      <c r="K101" s="3" t="s">
        <v>26</v>
      </c>
      <c r="L101" s="3">
        <v>1</v>
      </c>
      <c r="M101" s="3">
        <v>1</v>
      </c>
      <c r="N101" s="3">
        <v>2</v>
      </c>
      <c r="O101" s="3">
        <v>1</v>
      </c>
      <c r="P101" s="4">
        <f t="shared" si="6"/>
        <v>5</v>
      </c>
      <c r="Q101" s="3" t="s">
        <v>27</v>
      </c>
      <c r="R101" s="6" t="str">
        <f t="shared" si="7"/>
        <v>OK</v>
      </c>
      <c r="S101" s="6" t="s">
        <v>140</v>
      </c>
    </row>
    <row r="102" spans="1:19" ht="33.950000000000003" customHeight="1" x14ac:dyDescent="0.25">
      <c r="A102" s="10">
        <v>101</v>
      </c>
      <c r="B102" s="2" t="s">
        <v>141</v>
      </c>
      <c r="C102" s="2" t="s">
        <v>20</v>
      </c>
      <c r="D102" s="2" t="s">
        <v>129</v>
      </c>
      <c r="E102" s="2" t="s">
        <v>92</v>
      </c>
      <c r="F102" s="10" t="s">
        <v>30</v>
      </c>
      <c r="G102" s="10">
        <v>4</v>
      </c>
      <c r="H102" s="2" t="s">
        <v>24</v>
      </c>
      <c r="I102" s="7" t="str">
        <f>HYPERLINK("vggt/outputs_extras/llff_room_b_scen_3/reconstruction.glb","vggt/outputs_extras/llff_room_b_scen_3/reconstruction.glb")</f>
        <v>vggt/outputs_extras/llff_room_b_scen_3/reconstruction.glb</v>
      </c>
      <c r="J102" s="6" t="s">
        <v>142</v>
      </c>
      <c r="K102" s="3" t="s">
        <v>32</v>
      </c>
      <c r="L102" s="3">
        <v>1</v>
      </c>
      <c r="M102" s="3">
        <v>1</v>
      </c>
      <c r="N102" s="3">
        <v>2</v>
      </c>
      <c r="O102" s="3">
        <v>1</v>
      </c>
      <c r="P102" s="4">
        <f t="shared" si="6"/>
        <v>5</v>
      </c>
      <c r="Q102" s="3" t="s">
        <v>27</v>
      </c>
      <c r="R102" s="6" t="str">
        <f t="shared" si="7"/>
        <v>OK</v>
      </c>
      <c r="S102" s="6" t="s">
        <v>143</v>
      </c>
    </row>
    <row r="103" spans="1:19" ht="33.950000000000003" customHeight="1" x14ac:dyDescent="0.25">
      <c r="A103" s="10">
        <v>102</v>
      </c>
      <c r="B103" s="2" t="s">
        <v>144</v>
      </c>
      <c r="C103" s="2" t="s">
        <v>20</v>
      </c>
      <c r="D103" s="2" t="s">
        <v>129</v>
      </c>
      <c r="E103" s="2" t="s">
        <v>92</v>
      </c>
      <c r="F103" s="10" t="s">
        <v>35</v>
      </c>
      <c r="G103" s="10">
        <v>4</v>
      </c>
      <c r="H103" s="2" t="s">
        <v>24</v>
      </c>
      <c r="I103" s="7" t="str">
        <f>HYPERLINK("vggt/outputs_extras/llff_room_c_scen_3/reconstruction.glb","vggt/outputs_extras/llff_room_c_scen_3/reconstruction.glb")</f>
        <v>vggt/outputs_extras/llff_room_c_scen_3/reconstruction.glb</v>
      </c>
      <c r="J103" s="6" t="s">
        <v>145</v>
      </c>
      <c r="K103" s="3" t="s">
        <v>32</v>
      </c>
      <c r="L103" s="3">
        <v>1</v>
      </c>
      <c r="M103" s="3">
        <v>1</v>
      </c>
      <c r="N103" s="3">
        <v>2</v>
      </c>
      <c r="O103" s="3">
        <v>1</v>
      </c>
      <c r="P103" s="4">
        <f t="shared" si="6"/>
        <v>5</v>
      </c>
      <c r="Q103" s="3" t="s">
        <v>27</v>
      </c>
      <c r="R103" s="6" t="str">
        <f t="shared" si="7"/>
        <v>OK</v>
      </c>
      <c r="S103" s="6" t="s">
        <v>146</v>
      </c>
    </row>
    <row r="104" spans="1:19" ht="33.950000000000003" customHeight="1" x14ac:dyDescent="0.25">
      <c r="A104" s="10">
        <v>103</v>
      </c>
      <c r="B104" s="2" t="s">
        <v>138</v>
      </c>
      <c r="C104" s="2" t="s">
        <v>20</v>
      </c>
      <c r="D104" s="2" t="s">
        <v>129</v>
      </c>
      <c r="E104" s="2" t="s">
        <v>92</v>
      </c>
      <c r="F104" s="10" t="s">
        <v>23</v>
      </c>
      <c r="G104" s="10">
        <v>4</v>
      </c>
      <c r="H104" s="2" t="s">
        <v>38</v>
      </c>
      <c r="I104" s="7" t="str">
        <f>HYPERLINK("mast3r/outputs/llff_room_scen_3/reconstruction.glb","mast3r/outputs/llff_room_scen_3/reconstruction.glb")</f>
        <v>mast3r/outputs/llff_room_scen_3/reconstruction.glb</v>
      </c>
      <c r="J104" s="6" t="s">
        <v>139</v>
      </c>
      <c r="K104" s="3" t="s">
        <v>26</v>
      </c>
      <c r="L104" s="3">
        <v>1</v>
      </c>
      <c r="M104" s="3">
        <v>1</v>
      </c>
      <c r="N104" s="3">
        <v>1</v>
      </c>
      <c r="O104" s="3">
        <v>1</v>
      </c>
      <c r="P104" s="4">
        <f t="shared" si="6"/>
        <v>4</v>
      </c>
      <c r="Q104" s="3" t="s">
        <v>27</v>
      </c>
      <c r="R104" s="6" t="str">
        <f t="shared" si="7"/>
        <v>OK</v>
      </c>
      <c r="S104" s="6" t="s">
        <v>140</v>
      </c>
    </row>
    <row r="105" spans="1:19" ht="33.950000000000003" customHeight="1" x14ac:dyDescent="0.25">
      <c r="A105" s="10">
        <v>104</v>
      </c>
      <c r="B105" s="2" t="s">
        <v>141</v>
      </c>
      <c r="C105" s="2" t="s">
        <v>20</v>
      </c>
      <c r="D105" s="2" t="s">
        <v>129</v>
      </c>
      <c r="E105" s="2" t="s">
        <v>92</v>
      </c>
      <c r="F105" s="10" t="s">
        <v>30</v>
      </c>
      <c r="G105" s="10">
        <v>4</v>
      </c>
      <c r="H105" s="2" t="s">
        <v>38</v>
      </c>
      <c r="I105" s="7" t="str">
        <f>HYPERLINK("mast3r/outputs_extras/llff_room_b_scen_3/reconstruction.glb","mast3r/outputs_extras/llff_room_b_scen_3/reconstruction.glb")</f>
        <v>mast3r/outputs_extras/llff_room_b_scen_3/reconstruction.glb</v>
      </c>
      <c r="J105" s="6" t="s">
        <v>142</v>
      </c>
      <c r="K105" s="3" t="s">
        <v>32</v>
      </c>
      <c r="L105" s="3">
        <v>1</v>
      </c>
      <c r="M105" s="3">
        <v>1</v>
      </c>
      <c r="N105" s="3">
        <v>1</v>
      </c>
      <c r="O105" s="3">
        <v>1</v>
      </c>
      <c r="P105" s="4">
        <f t="shared" si="6"/>
        <v>4</v>
      </c>
      <c r="Q105" s="3" t="s">
        <v>27</v>
      </c>
      <c r="R105" s="6" t="str">
        <f t="shared" si="7"/>
        <v>OK</v>
      </c>
      <c r="S105" s="6" t="s">
        <v>143</v>
      </c>
    </row>
    <row r="106" spans="1:19" ht="33.950000000000003" customHeight="1" x14ac:dyDescent="0.25">
      <c r="A106" s="10">
        <v>105</v>
      </c>
      <c r="B106" s="2" t="s">
        <v>144</v>
      </c>
      <c r="C106" s="2" t="s">
        <v>20</v>
      </c>
      <c r="D106" s="2" t="s">
        <v>129</v>
      </c>
      <c r="E106" s="2" t="s">
        <v>92</v>
      </c>
      <c r="F106" s="10" t="s">
        <v>35</v>
      </c>
      <c r="G106" s="10">
        <v>4</v>
      </c>
      <c r="H106" s="2" t="s">
        <v>38</v>
      </c>
      <c r="I106" s="7" t="str">
        <f>HYPERLINK("mast3r/outputs_extras/llff_room_c_scen_3/reconstruction.glb","mast3r/outputs_extras/llff_room_c_scen_3/reconstruction.glb")</f>
        <v>mast3r/outputs_extras/llff_room_c_scen_3/reconstruction.glb</v>
      </c>
      <c r="J106" s="6" t="s">
        <v>145</v>
      </c>
      <c r="K106" s="3" t="s">
        <v>32</v>
      </c>
      <c r="L106" s="3">
        <v>1</v>
      </c>
      <c r="M106" s="3">
        <v>1</v>
      </c>
      <c r="N106" s="3">
        <v>1</v>
      </c>
      <c r="O106" s="3">
        <v>1</v>
      </c>
      <c r="P106" s="4">
        <f t="shared" si="6"/>
        <v>4</v>
      </c>
      <c r="Q106" s="3" t="s">
        <v>27</v>
      </c>
      <c r="R106" s="6" t="str">
        <f t="shared" si="7"/>
        <v>OK</v>
      </c>
      <c r="S106" s="6" t="s">
        <v>146</v>
      </c>
    </row>
    <row r="107" spans="1:19" ht="33.950000000000003" customHeight="1" x14ac:dyDescent="0.25">
      <c r="A107" s="10">
        <v>106</v>
      </c>
      <c r="B107" s="2" t="s">
        <v>138</v>
      </c>
      <c r="C107" s="2" t="s">
        <v>20</v>
      </c>
      <c r="D107" s="2" t="s">
        <v>129</v>
      </c>
      <c r="E107" s="2" t="s">
        <v>92</v>
      </c>
      <c r="F107" s="10" t="s">
        <v>23</v>
      </c>
      <c r="G107" s="10">
        <v>4</v>
      </c>
      <c r="H107" s="2" t="s">
        <v>39</v>
      </c>
      <c r="I107" s="7" t="str">
        <f>HYPERLINK("mapany/outputs/llff_room_scen_3/reconstruction.glb","mapany/outputs/llff_room_scen_3/reconstruction.glb")</f>
        <v>mapany/outputs/llff_room_scen_3/reconstruction.glb</v>
      </c>
      <c r="J107" s="6" t="s">
        <v>139</v>
      </c>
      <c r="K107" s="3" t="s">
        <v>26</v>
      </c>
      <c r="L107" s="3">
        <v>2</v>
      </c>
      <c r="M107" s="3">
        <v>1</v>
      </c>
      <c r="N107" s="3">
        <v>2</v>
      </c>
      <c r="O107" s="3">
        <v>2</v>
      </c>
      <c r="P107" s="4">
        <f t="shared" si="6"/>
        <v>7</v>
      </c>
      <c r="Q107" s="3" t="s">
        <v>27</v>
      </c>
      <c r="R107" s="6" t="str">
        <f t="shared" si="7"/>
        <v>OK</v>
      </c>
      <c r="S107" s="6" t="s">
        <v>140</v>
      </c>
    </row>
    <row r="108" spans="1:19" ht="33.950000000000003" customHeight="1" x14ac:dyDescent="0.25">
      <c r="A108" s="10">
        <v>107</v>
      </c>
      <c r="B108" s="2" t="s">
        <v>141</v>
      </c>
      <c r="C108" s="2" t="s">
        <v>20</v>
      </c>
      <c r="D108" s="2" t="s">
        <v>129</v>
      </c>
      <c r="E108" s="2" t="s">
        <v>92</v>
      </c>
      <c r="F108" s="10" t="s">
        <v>30</v>
      </c>
      <c r="G108" s="10">
        <v>4</v>
      </c>
      <c r="H108" s="2" t="s">
        <v>39</v>
      </c>
      <c r="I108" s="7" t="str">
        <f>HYPERLINK("mapany/outputs_extras/llff_room_b_scen_3/reconstruction.glb","mapany/outputs_extras/llff_room_b_scen_3/reconstruction.glb")</f>
        <v>mapany/outputs_extras/llff_room_b_scen_3/reconstruction.glb</v>
      </c>
      <c r="J108" s="6" t="s">
        <v>142</v>
      </c>
      <c r="K108" s="3" t="s">
        <v>32</v>
      </c>
      <c r="L108" s="3">
        <v>2</v>
      </c>
      <c r="M108" s="3">
        <v>1</v>
      </c>
      <c r="N108" s="3">
        <v>2</v>
      </c>
      <c r="O108" s="3">
        <v>2</v>
      </c>
      <c r="P108" s="4">
        <f t="shared" si="6"/>
        <v>7</v>
      </c>
      <c r="Q108" s="3" t="s">
        <v>27</v>
      </c>
      <c r="R108" s="6" t="str">
        <f t="shared" si="7"/>
        <v>OK</v>
      </c>
      <c r="S108" s="6" t="s">
        <v>143</v>
      </c>
    </row>
    <row r="109" spans="1:19" ht="33.950000000000003" customHeight="1" x14ac:dyDescent="0.25">
      <c r="A109" s="10">
        <v>108</v>
      </c>
      <c r="B109" s="2" t="s">
        <v>144</v>
      </c>
      <c r="C109" s="2" t="s">
        <v>20</v>
      </c>
      <c r="D109" s="2" t="s">
        <v>129</v>
      </c>
      <c r="E109" s="2" t="s">
        <v>92</v>
      </c>
      <c r="F109" s="10" t="s">
        <v>35</v>
      </c>
      <c r="G109" s="10">
        <v>4</v>
      </c>
      <c r="H109" s="2" t="s">
        <v>39</v>
      </c>
      <c r="I109" s="7" t="str">
        <f>HYPERLINK("mapany/outputs_extras/llff_room_c_scen_3/reconstruction.glb","mapany/outputs_extras/llff_room_c_scen_3/reconstruction.glb")</f>
        <v>mapany/outputs_extras/llff_room_c_scen_3/reconstruction.glb</v>
      </c>
      <c r="J109" s="6" t="s">
        <v>145</v>
      </c>
      <c r="K109" s="3" t="s">
        <v>32</v>
      </c>
      <c r="L109" s="3">
        <v>2</v>
      </c>
      <c r="M109" s="3">
        <v>1</v>
      </c>
      <c r="N109" s="3">
        <v>2</v>
      </c>
      <c r="O109" s="3">
        <v>2</v>
      </c>
      <c r="P109" s="4">
        <f t="shared" si="6"/>
        <v>7</v>
      </c>
      <c r="Q109" s="3" t="s">
        <v>27</v>
      </c>
      <c r="R109" s="6" t="str">
        <f t="shared" si="7"/>
        <v>OK</v>
      </c>
      <c r="S109" s="6" t="s">
        <v>146</v>
      </c>
    </row>
    <row r="110" spans="1:19" ht="33.950000000000003" customHeight="1" x14ac:dyDescent="0.25">
      <c r="A110" s="10">
        <v>109</v>
      </c>
      <c r="B110" s="2" t="s">
        <v>147</v>
      </c>
      <c r="C110" s="2" t="s">
        <v>50</v>
      </c>
      <c r="D110" s="2" t="s">
        <v>148</v>
      </c>
      <c r="E110" s="2" t="s">
        <v>22</v>
      </c>
      <c r="F110" s="10" t="s">
        <v>23</v>
      </c>
      <c r="G110" s="10">
        <v>2</v>
      </c>
      <c r="H110" s="2" t="s">
        <v>24</v>
      </c>
      <c r="I110" s="7" t="str">
        <f>HYPERLINK("vggt/outputs/custom_spqr_scen_2/reconstruction.glb","vggt/outputs/custom_spqr_scen_2/reconstruction.glb")</f>
        <v>vggt/outputs/custom_spqr_scen_2/reconstruction.glb</v>
      </c>
      <c r="J110" s="6" t="s">
        <v>149</v>
      </c>
      <c r="K110" s="3" t="s">
        <v>26</v>
      </c>
      <c r="L110" s="3">
        <v>1</v>
      </c>
      <c r="M110" s="3">
        <v>2</v>
      </c>
      <c r="N110" s="3">
        <v>1</v>
      </c>
      <c r="O110" s="3">
        <v>2</v>
      </c>
      <c r="P110" s="4">
        <f t="shared" si="6"/>
        <v>6</v>
      </c>
      <c r="Q110" s="3" t="s">
        <v>27</v>
      </c>
      <c r="R110" s="6" t="str">
        <f t="shared" si="7"/>
        <v>OK</v>
      </c>
      <c r="S110" s="6" t="s">
        <v>150</v>
      </c>
    </row>
    <row r="111" spans="1:19" ht="33.950000000000003" customHeight="1" x14ac:dyDescent="0.25">
      <c r="A111" s="10">
        <v>110</v>
      </c>
      <c r="B111" s="2" t="s">
        <v>151</v>
      </c>
      <c r="C111" s="2" t="s">
        <v>50</v>
      </c>
      <c r="D111" s="2" t="s">
        <v>148</v>
      </c>
      <c r="E111" s="2" t="s">
        <v>22</v>
      </c>
      <c r="F111" s="10" t="s">
        <v>30</v>
      </c>
      <c r="G111" s="10">
        <v>2</v>
      </c>
      <c r="H111" s="2" t="s">
        <v>24</v>
      </c>
      <c r="I111" s="7" t="str">
        <f>HYPERLINK("vggt/outputs_extras/custom_spqr_b_scen_2/reconstruction.glb","vggt/outputs_extras/custom_spqr_b_scen_2/reconstruction.glb")</f>
        <v>vggt/outputs_extras/custom_spqr_b_scen_2/reconstruction.glb</v>
      </c>
      <c r="J111" s="6" t="s">
        <v>152</v>
      </c>
      <c r="K111" s="3" t="s">
        <v>32</v>
      </c>
      <c r="L111" s="3">
        <v>1</v>
      </c>
      <c r="M111" s="3">
        <v>1</v>
      </c>
      <c r="N111" s="3">
        <v>1</v>
      </c>
      <c r="O111" s="3">
        <v>2</v>
      </c>
      <c r="P111" s="4">
        <f t="shared" si="6"/>
        <v>5</v>
      </c>
      <c r="Q111" s="3" t="s">
        <v>27</v>
      </c>
      <c r="R111" s="6" t="str">
        <f t="shared" si="7"/>
        <v>OK</v>
      </c>
      <c r="S111" s="6" t="s">
        <v>153</v>
      </c>
    </row>
    <row r="112" spans="1:19" ht="33.950000000000003" customHeight="1" x14ac:dyDescent="0.25">
      <c r="A112" s="10">
        <v>111</v>
      </c>
      <c r="B112" s="2" t="s">
        <v>154</v>
      </c>
      <c r="C112" s="2" t="s">
        <v>50</v>
      </c>
      <c r="D112" s="2" t="s">
        <v>148</v>
      </c>
      <c r="E112" s="2" t="s">
        <v>22</v>
      </c>
      <c r="F112" s="10" t="s">
        <v>35</v>
      </c>
      <c r="G112" s="10">
        <v>2</v>
      </c>
      <c r="H112" s="2" t="s">
        <v>24</v>
      </c>
      <c r="I112" s="7" t="str">
        <f>HYPERLINK("vggt/outputs_extras/custom_spqr_c_scen_2/reconstruction.glb","vggt/outputs_extras/custom_spqr_c_scen_2/reconstruction.glb")</f>
        <v>vggt/outputs_extras/custom_spqr_c_scen_2/reconstruction.glb</v>
      </c>
      <c r="J112" s="6" t="s">
        <v>155</v>
      </c>
      <c r="K112" s="3" t="s">
        <v>32</v>
      </c>
      <c r="L112" s="3">
        <v>1</v>
      </c>
      <c r="M112" s="3">
        <v>2</v>
      </c>
      <c r="N112" s="3">
        <v>2</v>
      </c>
      <c r="O112" s="3">
        <v>2</v>
      </c>
      <c r="P112" s="4">
        <f t="shared" si="6"/>
        <v>7</v>
      </c>
      <c r="Q112" s="3" t="s">
        <v>27</v>
      </c>
      <c r="R112" s="6" t="str">
        <f t="shared" si="7"/>
        <v>OK</v>
      </c>
      <c r="S112" s="6" t="s">
        <v>156</v>
      </c>
    </row>
    <row r="113" spans="1:19" ht="33.950000000000003" customHeight="1" x14ac:dyDescent="0.25">
      <c r="A113" s="10">
        <v>112</v>
      </c>
      <c r="B113" s="2" t="s">
        <v>147</v>
      </c>
      <c r="C113" s="2" t="s">
        <v>50</v>
      </c>
      <c r="D113" s="2" t="s">
        <v>148</v>
      </c>
      <c r="E113" s="2" t="s">
        <v>22</v>
      </c>
      <c r="F113" s="10" t="s">
        <v>23</v>
      </c>
      <c r="G113" s="10">
        <v>2</v>
      </c>
      <c r="H113" s="2" t="s">
        <v>38</v>
      </c>
      <c r="I113" s="7" t="str">
        <f>HYPERLINK("mast3r/outputs/custom_spqr_scen_2/reconstruction.glb","mast3r/outputs/custom_spqr_scen_2/reconstruction.glb")</f>
        <v>mast3r/outputs/custom_spqr_scen_2/reconstruction.glb</v>
      </c>
      <c r="J113" s="6" t="s">
        <v>149</v>
      </c>
      <c r="K113" s="3" t="s">
        <v>26</v>
      </c>
      <c r="L113" s="3">
        <v>1</v>
      </c>
      <c r="M113" s="3">
        <v>1</v>
      </c>
      <c r="N113" s="3">
        <v>2</v>
      </c>
      <c r="O113" s="3">
        <v>1</v>
      </c>
      <c r="P113" s="4">
        <f t="shared" si="6"/>
        <v>5</v>
      </c>
      <c r="Q113" s="3" t="s">
        <v>27</v>
      </c>
      <c r="R113" s="6" t="str">
        <f t="shared" si="7"/>
        <v>OK</v>
      </c>
      <c r="S113" s="6" t="s">
        <v>150</v>
      </c>
    </row>
    <row r="114" spans="1:19" ht="33.950000000000003" customHeight="1" x14ac:dyDescent="0.25">
      <c r="A114" s="10">
        <v>113</v>
      </c>
      <c r="B114" s="2" t="s">
        <v>151</v>
      </c>
      <c r="C114" s="2" t="s">
        <v>50</v>
      </c>
      <c r="D114" s="2" t="s">
        <v>148</v>
      </c>
      <c r="E114" s="2" t="s">
        <v>22</v>
      </c>
      <c r="F114" s="10" t="s">
        <v>30</v>
      </c>
      <c r="G114" s="10">
        <v>2</v>
      </c>
      <c r="H114" s="2" t="s">
        <v>38</v>
      </c>
      <c r="I114" s="7" t="str">
        <f>HYPERLINK("mast3r/outputs_extras/custom_spqr_b_scen_2/reconstruction.glb","mast3r/outputs_extras/custom_spqr_b_scen_2/reconstruction.glb")</f>
        <v>mast3r/outputs_extras/custom_spqr_b_scen_2/reconstruction.glb</v>
      </c>
      <c r="J114" s="6" t="s">
        <v>152</v>
      </c>
      <c r="K114" s="3" t="s">
        <v>32</v>
      </c>
      <c r="L114" s="3">
        <v>1</v>
      </c>
      <c r="M114" s="3">
        <v>1</v>
      </c>
      <c r="N114" s="3">
        <v>1</v>
      </c>
      <c r="O114" s="3">
        <v>1</v>
      </c>
      <c r="P114" s="4">
        <f t="shared" si="6"/>
        <v>4</v>
      </c>
      <c r="Q114" s="3" t="s">
        <v>27</v>
      </c>
      <c r="R114" s="6" t="str">
        <f t="shared" si="7"/>
        <v>OK</v>
      </c>
      <c r="S114" s="6" t="s">
        <v>153</v>
      </c>
    </row>
    <row r="115" spans="1:19" ht="33.950000000000003" customHeight="1" x14ac:dyDescent="0.25">
      <c r="A115" s="10">
        <v>114</v>
      </c>
      <c r="B115" s="2" t="s">
        <v>154</v>
      </c>
      <c r="C115" s="2" t="s">
        <v>50</v>
      </c>
      <c r="D115" s="2" t="s">
        <v>148</v>
      </c>
      <c r="E115" s="2" t="s">
        <v>22</v>
      </c>
      <c r="F115" s="10" t="s">
        <v>35</v>
      </c>
      <c r="G115" s="10">
        <v>2</v>
      </c>
      <c r="H115" s="2" t="s">
        <v>38</v>
      </c>
      <c r="I115" s="7" t="str">
        <f>HYPERLINK("mast3r/outputs_extras/custom_spqr_c_scen_2/reconstruction.glb","mast3r/outputs_extras/custom_spqr_c_scen_2/reconstruction.glb")</f>
        <v>mast3r/outputs_extras/custom_spqr_c_scen_2/reconstruction.glb</v>
      </c>
      <c r="J115" s="6" t="s">
        <v>155</v>
      </c>
      <c r="K115" s="3" t="s">
        <v>32</v>
      </c>
      <c r="L115" s="3">
        <v>1</v>
      </c>
      <c r="M115" s="3">
        <v>1</v>
      </c>
      <c r="N115" s="3">
        <v>1</v>
      </c>
      <c r="O115" s="3">
        <v>1</v>
      </c>
      <c r="P115" s="4">
        <f t="shared" si="6"/>
        <v>4</v>
      </c>
      <c r="Q115" s="3" t="s">
        <v>27</v>
      </c>
      <c r="R115" s="6" t="str">
        <f t="shared" si="7"/>
        <v>OK</v>
      </c>
      <c r="S115" s="6" t="s">
        <v>156</v>
      </c>
    </row>
    <row r="116" spans="1:19" ht="33.950000000000003" customHeight="1" x14ac:dyDescent="0.25">
      <c r="A116" s="10">
        <v>115</v>
      </c>
      <c r="B116" s="2" t="s">
        <v>147</v>
      </c>
      <c r="C116" s="2" t="s">
        <v>50</v>
      </c>
      <c r="D116" s="2" t="s">
        <v>148</v>
      </c>
      <c r="E116" s="2" t="s">
        <v>22</v>
      </c>
      <c r="F116" s="10" t="s">
        <v>23</v>
      </c>
      <c r="G116" s="10">
        <v>2</v>
      </c>
      <c r="H116" s="2" t="s">
        <v>39</v>
      </c>
      <c r="I116" s="7" t="str">
        <f>HYPERLINK("mapany/outputs/custom_spqr_scen_2/reconstruction.glb","mapany/outputs/custom_spqr_scen_2/reconstruction.glb")</f>
        <v>mapany/outputs/custom_spqr_scen_2/reconstruction.glb</v>
      </c>
      <c r="J116" s="6" t="s">
        <v>149</v>
      </c>
      <c r="K116" s="3" t="s">
        <v>26</v>
      </c>
      <c r="L116" s="3">
        <v>3</v>
      </c>
      <c r="M116" s="3">
        <v>1</v>
      </c>
      <c r="N116" s="3">
        <v>2</v>
      </c>
      <c r="O116" s="3">
        <v>2</v>
      </c>
      <c r="P116" s="4">
        <f t="shared" si="6"/>
        <v>8</v>
      </c>
      <c r="Q116" s="3" t="s">
        <v>27</v>
      </c>
      <c r="R116" s="6" t="str">
        <f t="shared" si="7"/>
        <v>OK</v>
      </c>
      <c r="S116" s="6" t="s">
        <v>150</v>
      </c>
    </row>
    <row r="117" spans="1:19" ht="33.950000000000003" customHeight="1" x14ac:dyDescent="0.25">
      <c r="A117" s="10">
        <v>116</v>
      </c>
      <c r="B117" s="2" t="s">
        <v>151</v>
      </c>
      <c r="C117" s="2" t="s">
        <v>50</v>
      </c>
      <c r="D117" s="2" t="s">
        <v>148</v>
      </c>
      <c r="E117" s="2" t="s">
        <v>22</v>
      </c>
      <c r="F117" s="10" t="s">
        <v>30</v>
      </c>
      <c r="G117" s="10">
        <v>2</v>
      </c>
      <c r="H117" s="2" t="s">
        <v>39</v>
      </c>
      <c r="I117" s="7" t="str">
        <f>HYPERLINK("mapany/outputs_extras/custom_spqr_b_scen_2/reconstruction.glb","mapany/outputs_extras/custom_spqr_b_scen_2/reconstruction.glb")</f>
        <v>mapany/outputs_extras/custom_spqr_b_scen_2/reconstruction.glb</v>
      </c>
      <c r="J117" s="6" t="s">
        <v>152</v>
      </c>
      <c r="K117" s="3" t="s">
        <v>32</v>
      </c>
      <c r="L117" s="3">
        <v>3</v>
      </c>
      <c r="M117" s="3">
        <v>1</v>
      </c>
      <c r="N117" s="3">
        <v>2</v>
      </c>
      <c r="O117" s="3">
        <v>2</v>
      </c>
      <c r="P117" s="4">
        <f t="shared" si="6"/>
        <v>8</v>
      </c>
      <c r="Q117" s="3" t="s">
        <v>27</v>
      </c>
      <c r="R117" s="6" t="str">
        <f t="shared" si="7"/>
        <v>OK</v>
      </c>
      <c r="S117" s="6" t="s">
        <v>153</v>
      </c>
    </row>
    <row r="118" spans="1:19" ht="33.950000000000003" customHeight="1" x14ac:dyDescent="0.25">
      <c r="A118" s="10">
        <v>117</v>
      </c>
      <c r="B118" s="2" t="s">
        <v>154</v>
      </c>
      <c r="C118" s="2" t="s">
        <v>50</v>
      </c>
      <c r="D118" s="2" t="s">
        <v>148</v>
      </c>
      <c r="E118" s="2" t="s">
        <v>22</v>
      </c>
      <c r="F118" s="10" t="s">
        <v>35</v>
      </c>
      <c r="G118" s="10">
        <v>2</v>
      </c>
      <c r="H118" s="2" t="s">
        <v>39</v>
      </c>
      <c r="I118" s="7" t="str">
        <f>HYPERLINK("mapany/outputs_extras/custom_spqr_c_scen_2/reconstruction.glb","mapany/outputs_extras/custom_spqr_c_scen_2/reconstruction.glb")</f>
        <v>mapany/outputs_extras/custom_spqr_c_scen_2/reconstruction.glb</v>
      </c>
      <c r="J118" s="6" t="s">
        <v>155</v>
      </c>
      <c r="K118" s="3" t="s">
        <v>32</v>
      </c>
      <c r="L118" s="3">
        <v>3</v>
      </c>
      <c r="M118" s="3">
        <v>2</v>
      </c>
      <c r="N118" s="3">
        <v>2</v>
      </c>
      <c r="O118" s="3">
        <v>2</v>
      </c>
      <c r="P118" s="4">
        <f t="shared" si="6"/>
        <v>9</v>
      </c>
      <c r="Q118" s="3" t="s">
        <v>27</v>
      </c>
      <c r="R118" s="6" t="str">
        <f t="shared" si="7"/>
        <v>OK</v>
      </c>
      <c r="S118" s="6" t="s">
        <v>156</v>
      </c>
    </row>
    <row r="119" spans="1:19" ht="33.950000000000003" customHeight="1" x14ac:dyDescent="0.25">
      <c r="A119" s="10">
        <v>118</v>
      </c>
      <c r="B119" s="2" t="s">
        <v>157</v>
      </c>
      <c r="C119" s="2" t="s">
        <v>50</v>
      </c>
      <c r="D119" s="2" t="s">
        <v>148</v>
      </c>
      <c r="E119" s="2" t="s">
        <v>22</v>
      </c>
      <c r="F119" s="10" t="s">
        <v>23</v>
      </c>
      <c r="G119" s="10">
        <v>4</v>
      </c>
      <c r="H119" s="2" t="s">
        <v>24</v>
      </c>
      <c r="I119" s="7" t="str">
        <f>HYPERLINK("vggt/outputs/custom_spqr_scen_3/reconstruction.glb","vggt/outputs/custom_spqr_scen_3/reconstruction.glb")</f>
        <v>vggt/outputs/custom_spqr_scen_3/reconstruction.glb</v>
      </c>
      <c r="J119" s="6" t="s">
        <v>158</v>
      </c>
      <c r="K119" s="3" t="s">
        <v>26</v>
      </c>
      <c r="L119" s="3">
        <v>2</v>
      </c>
      <c r="M119" s="3">
        <v>1</v>
      </c>
      <c r="N119" s="3">
        <v>2</v>
      </c>
      <c r="O119" s="3">
        <v>2</v>
      </c>
      <c r="P119" s="4">
        <f t="shared" si="6"/>
        <v>7</v>
      </c>
      <c r="Q119" s="3" t="s">
        <v>27</v>
      </c>
      <c r="R119" s="6" t="str">
        <f t="shared" si="7"/>
        <v>OK</v>
      </c>
      <c r="S119" s="6" t="s">
        <v>159</v>
      </c>
    </row>
    <row r="120" spans="1:19" ht="33.950000000000003" customHeight="1" x14ac:dyDescent="0.25">
      <c r="A120" s="10">
        <v>119</v>
      </c>
      <c r="B120" s="2" t="s">
        <v>160</v>
      </c>
      <c r="C120" s="2" t="s">
        <v>50</v>
      </c>
      <c r="D120" s="2" t="s">
        <v>148</v>
      </c>
      <c r="E120" s="2" t="s">
        <v>22</v>
      </c>
      <c r="F120" s="10" t="s">
        <v>30</v>
      </c>
      <c r="G120" s="10">
        <v>4</v>
      </c>
      <c r="H120" s="2" t="s">
        <v>24</v>
      </c>
      <c r="I120" s="7" t="str">
        <f>HYPERLINK("vggt/outputs_extras/custom_spqr_b_scen_3/reconstruction.glb","vggt/outputs_extras/custom_spqr_b_scen_3/reconstruction.glb")</f>
        <v>vggt/outputs_extras/custom_spqr_b_scen_3/reconstruction.glb</v>
      </c>
      <c r="J120" s="6" t="s">
        <v>161</v>
      </c>
      <c r="K120" s="3" t="s">
        <v>32</v>
      </c>
      <c r="L120" s="3">
        <v>2</v>
      </c>
      <c r="M120" s="3">
        <v>1</v>
      </c>
      <c r="N120" s="3">
        <v>1</v>
      </c>
      <c r="O120" s="3">
        <v>2</v>
      </c>
      <c r="P120" s="4">
        <f t="shared" si="6"/>
        <v>6</v>
      </c>
      <c r="Q120" s="3" t="s">
        <v>27</v>
      </c>
      <c r="R120" s="6" t="str">
        <f t="shared" si="7"/>
        <v>OK</v>
      </c>
      <c r="S120" s="6" t="s">
        <v>162</v>
      </c>
    </row>
    <row r="121" spans="1:19" ht="33.950000000000003" customHeight="1" x14ac:dyDescent="0.25">
      <c r="A121" s="10">
        <v>120</v>
      </c>
      <c r="B121" s="2" t="s">
        <v>163</v>
      </c>
      <c r="C121" s="2" t="s">
        <v>50</v>
      </c>
      <c r="D121" s="2" t="s">
        <v>148</v>
      </c>
      <c r="E121" s="2" t="s">
        <v>22</v>
      </c>
      <c r="F121" s="10" t="s">
        <v>35</v>
      </c>
      <c r="G121" s="10">
        <v>4</v>
      </c>
      <c r="H121" s="2" t="s">
        <v>24</v>
      </c>
      <c r="I121" s="7" t="str">
        <f>HYPERLINK("vggt/outputs_extras/custom_spqr_c_scen_3/reconstruction.glb","vggt/outputs_extras/custom_spqr_c_scen_3/reconstruction.glb")</f>
        <v>vggt/outputs_extras/custom_spqr_c_scen_3/reconstruction.glb</v>
      </c>
      <c r="J121" s="6" t="s">
        <v>164</v>
      </c>
      <c r="K121" s="3" t="s">
        <v>32</v>
      </c>
      <c r="L121" s="3">
        <v>2</v>
      </c>
      <c r="M121" s="3">
        <v>3</v>
      </c>
      <c r="N121" s="3">
        <v>2</v>
      </c>
      <c r="O121" s="3">
        <v>2</v>
      </c>
      <c r="P121" s="4">
        <f t="shared" si="6"/>
        <v>9</v>
      </c>
      <c r="Q121" s="3" t="s">
        <v>27</v>
      </c>
      <c r="R121" s="6" t="str">
        <f t="shared" si="7"/>
        <v>OK</v>
      </c>
      <c r="S121" s="6" t="s">
        <v>165</v>
      </c>
    </row>
    <row r="122" spans="1:19" ht="33.950000000000003" customHeight="1" x14ac:dyDescent="0.25">
      <c r="A122" s="10">
        <v>121</v>
      </c>
      <c r="B122" s="2" t="s">
        <v>157</v>
      </c>
      <c r="C122" s="2" t="s">
        <v>50</v>
      </c>
      <c r="D122" s="2" t="s">
        <v>148</v>
      </c>
      <c r="E122" s="2" t="s">
        <v>22</v>
      </c>
      <c r="F122" s="10" t="s">
        <v>23</v>
      </c>
      <c r="G122" s="10">
        <v>4</v>
      </c>
      <c r="H122" s="2" t="s">
        <v>38</v>
      </c>
      <c r="I122" s="7" t="str">
        <f>HYPERLINK("mast3r/outputs/custom_spqr_scen_3/reconstruction.glb","mast3r/outputs/custom_spqr_scen_3/reconstruction.glb")</f>
        <v>mast3r/outputs/custom_spqr_scen_3/reconstruction.glb</v>
      </c>
      <c r="J122" s="6" t="s">
        <v>158</v>
      </c>
      <c r="K122" s="3" t="s">
        <v>26</v>
      </c>
      <c r="L122" s="3">
        <v>2</v>
      </c>
      <c r="M122" s="3">
        <v>2</v>
      </c>
      <c r="N122" s="3">
        <v>1</v>
      </c>
      <c r="O122" s="3">
        <v>2</v>
      </c>
      <c r="P122" s="4">
        <f t="shared" si="6"/>
        <v>7</v>
      </c>
      <c r="Q122" s="3" t="s">
        <v>27</v>
      </c>
      <c r="R122" s="6" t="str">
        <f t="shared" si="7"/>
        <v>OK</v>
      </c>
      <c r="S122" s="6" t="s">
        <v>159</v>
      </c>
    </row>
    <row r="123" spans="1:19" ht="33.950000000000003" customHeight="1" x14ac:dyDescent="0.25">
      <c r="A123" s="10">
        <v>122</v>
      </c>
      <c r="B123" s="2" t="s">
        <v>160</v>
      </c>
      <c r="C123" s="2" t="s">
        <v>50</v>
      </c>
      <c r="D123" s="2" t="s">
        <v>148</v>
      </c>
      <c r="E123" s="2" t="s">
        <v>22</v>
      </c>
      <c r="F123" s="10" t="s">
        <v>30</v>
      </c>
      <c r="G123" s="10">
        <v>4</v>
      </c>
      <c r="H123" s="2" t="s">
        <v>38</v>
      </c>
      <c r="I123" s="7" t="str">
        <f>HYPERLINK("mast3r/outputs_extras/custom_spqr_b_scen_3/reconstruction.glb","mast3r/outputs_extras/custom_spqr_b_scen_3/reconstruction.glb")</f>
        <v>mast3r/outputs_extras/custom_spqr_b_scen_3/reconstruction.glb</v>
      </c>
      <c r="J123" s="6" t="s">
        <v>161</v>
      </c>
      <c r="K123" s="3" t="s">
        <v>32</v>
      </c>
      <c r="L123" s="3">
        <v>2</v>
      </c>
      <c r="M123" s="3">
        <v>1</v>
      </c>
      <c r="N123" s="3">
        <v>1</v>
      </c>
      <c r="O123" s="3">
        <v>2</v>
      </c>
      <c r="P123" s="4">
        <f t="shared" si="6"/>
        <v>6</v>
      </c>
      <c r="Q123" s="3" t="s">
        <v>27</v>
      </c>
      <c r="R123" s="6" t="str">
        <f t="shared" si="7"/>
        <v>OK</v>
      </c>
      <c r="S123" s="6" t="s">
        <v>162</v>
      </c>
    </row>
    <row r="124" spans="1:19" ht="33.950000000000003" customHeight="1" x14ac:dyDescent="0.25">
      <c r="A124" s="10">
        <v>123</v>
      </c>
      <c r="B124" s="2" t="s">
        <v>163</v>
      </c>
      <c r="C124" s="2" t="s">
        <v>50</v>
      </c>
      <c r="D124" s="2" t="s">
        <v>148</v>
      </c>
      <c r="E124" s="2" t="s">
        <v>22</v>
      </c>
      <c r="F124" s="10" t="s">
        <v>35</v>
      </c>
      <c r="G124" s="10">
        <v>4</v>
      </c>
      <c r="H124" s="2" t="s">
        <v>38</v>
      </c>
      <c r="I124" s="7" t="str">
        <f>HYPERLINK("mast3r/outputs_extras/custom_spqr_c_scen_3/reconstruction.glb","mast3r/outputs_extras/custom_spqr_c_scen_3/reconstruction.glb")</f>
        <v>mast3r/outputs_extras/custom_spqr_c_scen_3/reconstruction.glb</v>
      </c>
      <c r="J124" s="6" t="s">
        <v>164</v>
      </c>
      <c r="K124" s="3" t="s">
        <v>32</v>
      </c>
      <c r="L124" s="3">
        <v>2</v>
      </c>
      <c r="M124" s="3">
        <v>1</v>
      </c>
      <c r="N124" s="3">
        <v>1</v>
      </c>
      <c r="O124" s="3">
        <v>2</v>
      </c>
      <c r="P124" s="4">
        <f t="shared" si="6"/>
        <v>6</v>
      </c>
      <c r="Q124" s="3" t="s">
        <v>27</v>
      </c>
      <c r="R124" s="6" t="str">
        <f t="shared" si="7"/>
        <v>OK</v>
      </c>
      <c r="S124" s="6" t="s">
        <v>165</v>
      </c>
    </row>
    <row r="125" spans="1:19" ht="33.950000000000003" customHeight="1" x14ac:dyDescent="0.25">
      <c r="A125" s="10">
        <v>124</v>
      </c>
      <c r="B125" s="2" t="s">
        <v>157</v>
      </c>
      <c r="C125" s="2" t="s">
        <v>50</v>
      </c>
      <c r="D125" s="2" t="s">
        <v>148</v>
      </c>
      <c r="E125" s="2" t="s">
        <v>22</v>
      </c>
      <c r="F125" s="10" t="s">
        <v>23</v>
      </c>
      <c r="G125" s="10">
        <v>4</v>
      </c>
      <c r="H125" s="2" t="s">
        <v>39</v>
      </c>
      <c r="I125" s="7" t="str">
        <f>HYPERLINK("mapany/outputs/custom_spqr_scen_3/reconstruction.glb","mapany/outputs/custom_spqr_scen_3/reconstruction.glb")</f>
        <v>mapany/outputs/custom_spqr_scen_3/reconstruction.glb</v>
      </c>
      <c r="J125" s="6" t="s">
        <v>158</v>
      </c>
      <c r="K125" s="3" t="s">
        <v>26</v>
      </c>
      <c r="L125" s="3">
        <v>3</v>
      </c>
      <c r="M125" s="3">
        <v>1</v>
      </c>
      <c r="N125" s="3">
        <v>2</v>
      </c>
      <c r="O125" s="3">
        <v>2</v>
      </c>
      <c r="P125" s="4">
        <f t="shared" si="6"/>
        <v>8</v>
      </c>
      <c r="Q125" s="3" t="s">
        <v>27</v>
      </c>
      <c r="R125" s="6" t="str">
        <f t="shared" si="7"/>
        <v>OK</v>
      </c>
      <c r="S125" s="6" t="s">
        <v>159</v>
      </c>
    </row>
    <row r="126" spans="1:19" ht="33.950000000000003" customHeight="1" x14ac:dyDescent="0.25">
      <c r="A126" s="10">
        <v>125</v>
      </c>
      <c r="B126" s="2" t="s">
        <v>160</v>
      </c>
      <c r="C126" s="2" t="s">
        <v>50</v>
      </c>
      <c r="D126" s="2" t="s">
        <v>148</v>
      </c>
      <c r="E126" s="2" t="s">
        <v>22</v>
      </c>
      <c r="F126" s="10" t="s">
        <v>30</v>
      </c>
      <c r="G126" s="10">
        <v>4</v>
      </c>
      <c r="H126" s="2" t="s">
        <v>39</v>
      </c>
      <c r="I126" s="7" t="str">
        <f>HYPERLINK("mapany/outputs_extras/custom_spqr_b_scen_3/reconstruction.glb","mapany/outputs_extras/custom_spqr_b_scen_3/reconstruction.glb")</f>
        <v>mapany/outputs_extras/custom_spqr_b_scen_3/reconstruction.glb</v>
      </c>
      <c r="J126" s="6" t="s">
        <v>161</v>
      </c>
      <c r="K126" s="3" t="s">
        <v>32</v>
      </c>
      <c r="L126" s="3">
        <v>3</v>
      </c>
      <c r="M126" s="3">
        <v>1</v>
      </c>
      <c r="N126" s="3">
        <v>2</v>
      </c>
      <c r="O126" s="3">
        <v>2</v>
      </c>
      <c r="P126" s="4">
        <f t="shared" si="6"/>
        <v>8</v>
      </c>
      <c r="Q126" s="3" t="s">
        <v>27</v>
      </c>
      <c r="R126" s="6" t="str">
        <f t="shared" si="7"/>
        <v>OK</v>
      </c>
      <c r="S126" s="6" t="s">
        <v>162</v>
      </c>
    </row>
    <row r="127" spans="1:19" ht="33.950000000000003" customHeight="1" x14ac:dyDescent="0.25">
      <c r="A127" s="10">
        <v>126</v>
      </c>
      <c r="B127" s="2" t="s">
        <v>163</v>
      </c>
      <c r="C127" s="2" t="s">
        <v>50</v>
      </c>
      <c r="D127" s="2" t="s">
        <v>148</v>
      </c>
      <c r="E127" s="2" t="s">
        <v>22</v>
      </c>
      <c r="F127" s="10" t="s">
        <v>35</v>
      </c>
      <c r="G127" s="10">
        <v>4</v>
      </c>
      <c r="H127" s="2" t="s">
        <v>39</v>
      </c>
      <c r="I127" s="7" t="str">
        <f>HYPERLINK("mapany/outputs_extras/custom_spqr_c_scen_3/reconstruction.glb","mapany/outputs_extras/custom_spqr_c_scen_3/reconstruction.glb")</f>
        <v>mapany/outputs_extras/custom_spqr_c_scen_3/reconstruction.glb</v>
      </c>
      <c r="J127" s="6" t="s">
        <v>164</v>
      </c>
      <c r="K127" s="3" t="s">
        <v>32</v>
      </c>
      <c r="L127" s="3">
        <v>3</v>
      </c>
      <c r="M127" s="3">
        <v>1</v>
      </c>
      <c r="N127" s="3">
        <v>2</v>
      </c>
      <c r="O127" s="3">
        <v>2</v>
      </c>
      <c r="P127" s="4">
        <f t="shared" si="6"/>
        <v>8</v>
      </c>
      <c r="Q127" s="3" t="s">
        <v>27</v>
      </c>
      <c r="R127" s="6" t="str">
        <f t="shared" si="7"/>
        <v>OK</v>
      </c>
      <c r="S127" s="6" t="s">
        <v>165</v>
      </c>
    </row>
    <row r="128" spans="1:19" ht="33.950000000000003" customHeight="1" x14ac:dyDescent="0.25">
      <c r="A128" s="10">
        <v>127</v>
      </c>
      <c r="B128" s="2" t="s">
        <v>166</v>
      </c>
      <c r="C128" s="2" t="s">
        <v>71</v>
      </c>
      <c r="D128" s="2" t="s">
        <v>167</v>
      </c>
      <c r="E128" s="2" t="s">
        <v>52</v>
      </c>
      <c r="F128" s="10" t="s">
        <v>23</v>
      </c>
      <c r="G128" s="10">
        <v>2</v>
      </c>
      <c r="H128" s="2" t="s">
        <v>24</v>
      </c>
      <c r="I128" s="7" t="str">
        <f>HYPERLINK("vggt/outputs/eth3d_terrace_2_scen_2/reconstruction.glb","vggt/outputs/eth3d_terrace_2_scen_2/reconstruction.glb")</f>
        <v>vggt/outputs/eth3d_terrace_2_scen_2/reconstruction.glb</v>
      </c>
      <c r="J128" s="6" t="s">
        <v>168</v>
      </c>
      <c r="K128" s="3" t="s">
        <v>26</v>
      </c>
      <c r="L128" s="3">
        <v>1</v>
      </c>
      <c r="M128" s="3">
        <v>2</v>
      </c>
      <c r="N128" s="3">
        <v>2</v>
      </c>
      <c r="O128" s="3">
        <v>1</v>
      </c>
      <c r="P128" s="4">
        <f t="shared" si="6"/>
        <v>6</v>
      </c>
      <c r="Q128" s="3" t="s">
        <v>27</v>
      </c>
      <c r="R128" s="6" t="str">
        <f t="shared" si="7"/>
        <v>OK</v>
      </c>
      <c r="S128" s="6" t="s">
        <v>169</v>
      </c>
    </row>
    <row r="129" spans="1:19" ht="33.950000000000003" customHeight="1" x14ac:dyDescent="0.25">
      <c r="A129" s="10">
        <v>128</v>
      </c>
      <c r="B129" s="2" t="s">
        <v>170</v>
      </c>
      <c r="C129" s="2" t="s">
        <v>71</v>
      </c>
      <c r="D129" s="2" t="s">
        <v>167</v>
      </c>
      <c r="E129" s="2" t="s">
        <v>52</v>
      </c>
      <c r="F129" s="10" t="s">
        <v>30</v>
      </c>
      <c r="G129" s="10">
        <v>2</v>
      </c>
      <c r="H129" s="2" t="s">
        <v>24</v>
      </c>
      <c r="I129" s="7" t="str">
        <f>HYPERLINK("vggt/outputs_extras/eth3d_terrace_2_b_scen_2/reconstruction.glb","vggt/outputs_extras/eth3d_terrace_2_b_scen_2/reconstruction.glb")</f>
        <v>vggt/outputs_extras/eth3d_terrace_2_b_scen_2/reconstruction.glb</v>
      </c>
      <c r="J129" s="6" t="s">
        <v>171</v>
      </c>
      <c r="K129" s="3" t="s">
        <v>32</v>
      </c>
      <c r="L129" s="3">
        <v>1</v>
      </c>
      <c r="M129" s="3">
        <v>2</v>
      </c>
      <c r="N129" s="3">
        <v>2</v>
      </c>
      <c r="O129" s="3">
        <v>1</v>
      </c>
      <c r="P129" s="4">
        <f t="shared" si="6"/>
        <v>6</v>
      </c>
      <c r="Q129" s="3" t="s">
        <v>27</v>
      </c>
      <c r="R129" s="6" t="str">
        <f t="shared" si="7"/>
        <v>OK</v>
      </c>
      <c r="S129" s="6" t="s">
        <v>172</v>
      </c>
    </row>
    <row r="130" spans="1:19" ht="33.950000000000003" customHeight="1" x14ac:dyDescent="0.25">
      <c r="A130" s="10">
        <v>129</v>
      </c>
      <c r="B130" s="2" t="s">
        <v>173</v>
      </c>
      <c r="C130" s="2" t="s">
        <v>71</v>
      </c>
      <c r="D130" s="2" t="s">
        <v>167</v>
      </c>
      <c r="E130" s="2" t="s">
        <v>52</v>
      </c>
      <c r="F130" s="10" t="s">
        <v>35</v>
      </c>
      <c r="G130" s="10">
        <v>2</v>
      </c>
      <c r="H130" s="2" t="s">
        <v>24</v>
      </c>
      <c r="I130" s="7" t="str">
        <f>HYPERLINK("vggt/outputs_extras/eth3d_terrace_2_c_scen_2/reconstruction.glb","vggt/outputs_extras/eth3d_terrace_2_c_scen_2/reconstruction.glb")</f>
        <v>vggt/outputs_extras/eth3d_terrace_2_c_scen_2/reconstruction.glb</v>
      </c>
      <c r="J130" s="6" t="s">
        <v>174</v>
      </c>
      <c r="K130" s="3" t="s">
        <v>32</v>
      </c>
      <c r="L130" s="3">
        <v>1</v>
      </c>
      <c r="M130" s="3">
        <v>2</v>
      </c>
      <c r="N130" s="3">
        <v>2</v>
      </c>
      <c r="O130" s="3">
        <v>1</v>
      </c>
      <c r="P130" s="4">
        <f t="shared" ref="P130:P163" si="8">IF($K130="Niepowodzenie rekonstrukcji",0,IF(COUNT($L130:$O130)=4,SUM($L130:$O130),""))</f>
        <v>6</v>
      </c>
      <c r="Q130" s="3" t="s">
        <v>27</v>
      </c>
      <c r="R130" s="6" t="str">
        <f t="shared" ref="R130:R163" si="9">IF($K130="Niepowodzenie rekonstrukcji",IF(COUNTIF($L130:$O130,0)=4,"OK","Ustaw C, G, A, D = 0"),IF(COUNT($L130:$O130)=0,"Nieoceniony",IF(COUNT($L130:$O130)=4,"OK","Uzupełnij oceny")))</f>
        <v>OK</v>
      </c>
      <c r="S130" s="6" t="s">
        <v>175</v>
      </c>
    </row>
    <row r="131" spans="1:19" ht="33.950000000000003" customHeight="1" x14ac:dyDescent="0.25">
      <c r="A131" s="10">
        <v>130</v>
      </c>
      <c r="B131" s="2" t="s">
        <v>166</v>
      </c>
      <c r="C131" s="2" t="s">
        <v>71</v>
      </c>
      <c r="D131" s="2" t="s">
        <v>167</v>
      </c>
      <c r="E131" s="2" t="s">
        <v>52</v>
      </c>
      <c r="F131" s="10" t="s">
        <v>23</v>
      </c>
      <c r="G131" s="10">
        <v>2</v>
      </c>
      <c r="H131" s="2" t="s">
        <v>38</v>
      </c>
      <c r="I131" s="7" t="str">
        <f>HYPERLINK("mast3r/outputs/eth3d_terrace_2_scen_2/reconstruction.glb","mast3r/outputs/eth3d_terrace_2_scen_2/reconstruction.glb")</f>
        <v>mast3r/outputs/eth3d_terrace_2_scen_2/reconstruction.glb</v>
      </c>
      <c r="J131" s="6" t="s">
        <v>168</v>
      </c>
      <c r="K131" s="3" t="s">
        <v>26</v>
      </c>
      <c r="L131" s="3">
        <v>2</v>
      </c>
      <c r="M131" s="3">
        <v>1</v>
      </c>
      <c r="N131" s="3">
        <v>1</v>
      </c>
      <c r="O131" s="3">
        <v>2</v>
      </c>
      <c r="P131" s="4">
        <f t="shared" si="8"/>
        <v>6</v>
      </c>
      <c r="Q131" s="3" t="s">
        <v>27</v>
      </c>
      <c r="R131" s="6" t="str">
        <f t="shared" si="9"/>
        <v>OK</v>
      </c>
      <c r="S131" s="6" t="s">
        <v>169</v>
      </c>
    </row>
    <row r="132" spans="1:19" ht="33.950000000000003" customHeight="1" x14ac:dyDescent="0.25">
      <c r="A132" s="10">
        <v>131</v>
      </c>
      <c r="B132" s="2" t="s">
        <v>170</v>
      </c>
      <c r="C132" s="2" t="s">
        <v>71</v>
      </c>
      <c r="D132" s="2" t="s">
        <v>167</v>
      </c>
      <c r="E132" s="2" t="s">
        <v>52</v>
      </c>
      <c r="F132" s="10" t="s">
        <v>30</v>
      </c>
      <c r="G132" s="10">
        <v>2</v>
      </c>
      <c r="H132" s="2" t="s">
        <v>38</v>
      </c>
      <c r="I132" s="7" t="str">
        <f>HYPERLINK("mast3r/outputs_extras/eth3d_terrace_2_b_scen_2/reconstruction.glb","mast3r/outputs_extras/eth3d_terrace_2_b_scen_2/reconstruction.glb")</f>
        <v>mast3r/outputs_extras/eth3d_terrace_2_b_scen_2/reconstruction.glb</v>
      </c>
      <c r="J132" s="6" t="s">
        <v>171</v>
      </c>
      <c r="K132" s="3" t="s">
        <v>32</v>
      </c>
      <c r="L132" s="3">
        <v>2</v>
      </c>
      <c r="M132" s="3">
        <v>1</v>
      </c>
      <c r="N132" s="3">
        <v>1</v>
      </c>
      <c r="O132" s="3">
        <v>2</v>
      </c>
      <c r="P132" s="4">
        <f t="shared" si="8"/>
        <v>6</v>
      </c>
      <c r="Q132" s="3" t="s">
        <v>27</v>
      </c>
      <c r="R132" s="6" t="str">
        <f t="shared" si="9"/>
        <v>OK</v>
      </c>
      <c r="S132" s="6" t="s">
        <v>172</v>
      </c>
    </row>
    <row r="133" spans="1:19" ht="33.950000000000003" customHeight="1" x14ac:dyDescent="0.25">
      <c r="A133" s="10">
        <v>132</v>
      </c>
      <c r="B133" s="2" t="s">
        <v>173</v>
      </c>
      <c r="C133" s="2" t="s">
        <v>71</v>
      </c>
      <c r="D133" s="2" t="s">
        <v>167</v>
      </c>
      <c r="E133" s="2" t="s">
        <v>52</v>
      </c>
      <c r="F133" s="10" t="s">
        <v>35</v>
      </c>
      <c r="G133" s="10">
        <v>2</v>
      </c>
      <c r="H133" s="2" t="s">
        <v>38</v>
      </c>
      <c r="I133" s="7" t="str">
        <f>HYPERLINK("mast3r/outputs_extras/eth3d_terrace_2_c_scen_2/reconstruction.glb","mast3r/outputs_extras/eth3d_terrace_2_c_scen_2/reconstruction.glb")</f>
        <v>mast3r/outputs_extras/eth3d_terrace_2_c_scen_2/reconstruction.glb</v>
      </c>
      <c r="J133" s="6" t="s">
        <v>174</v>
      </c>
      <c r="K133" s="3" t="s">
        <v>32</v>
      </c>
      <c r="L133" s="3">
        <v>2</v>
      </c>
      <c r="M133" s="3">
        <v>1</v>
      </c>
      <c r="N133" s="3">
        <v>1</v>
      </c>
      <c r="O133" s="3">
        <v>2</v>
      </c>
      <c r="P133" s="4">
        <f t="shared" si="8"/>
        <v>6</v>
      </c>
      <c r="Q133" s="3" t="s">
        <v>27</v>
      </c>
      <c r="R133" s="6" t="str">
        <f t="shared" si="9"/>
        <v>OK</v>
      </c>
      <c r="S133" s="6" t="s">
        <v>175</v>
      </c>
    </row>
    <row r="134" spans="1:19" ht="33.950000000000003" customHeight="1" x14ac:dyDescent="0.25">
      <c r="A134" s="10">
        <v>133</v>
      </c>
      <c r="B134" s="2" t="s">
        <v>166</v>
      </c>
      <c r="C134" s="2" t="s">
        <v>71</v>
      </c>
      <c r="D134" s="2" t="s">
        <v>167</v>
      </c>
      <c r="E134" s="2" t="s">
        <v>52</v>
      </c>
      <c r="F134" s="10" t="s">
        <v>23</v>
      </c>
      <c r="G134" s="10">
        <v>2</v>
      </c>
      <c r="H134" s="2" t="s">
        <v>39</v>
      </c>
      <c r="I134" s="7" t="str">
        <f>HYPERLINK("mapany/outputs/eth3d_terrace_2_scen_2/reconstruction.glb","mapany/outputs/eth3d_terrace_2_scen_2/reconstruction.glb")</f>
        <v>mapany/outputs/eth3d_terrace_2_scen_2/reconstruction.glb</v>
      </c>
      <c r="J134" s="6" t="s">
        <v>168</v>
      </c>
      <c r="K134" s="3" t="s">
        <v>26</v>
      </c>
      <c r="L134" s="3">
        <v>2</v>
      </c>
      <c r="M134" s="3">
        <v>2</v>
      </c>
      <c r="N134" s="3">
        <v>2</v>
      </c>
      <c r="O134" s="3">
        <v>2</v>
      </c>
      <c r="P134" s="4">
        <f t="shared" si="8"/>
        <v>8</v>
      </c>
      <c r="Q134" s="3" t="s">
        <v>27</v>
      </c>
      <c r="R134" s="6" t="str">
        <f t="shared" si="9"/>
        <v>OK</v>
      </c>
      <c r="S134" s="6" t="s">
        <v>169</v>
      </c>
    </row>
    <row r="135" spans="1:19" ht="33.950000000000003" customHeight="1" x14ac:dyDescent="0.25">
      <c r="A135" s="10">
        <v>134</v>
      </c>
      <c r="B135" s="2" t="s">
        <v>170</v>
      </c>
      <c r="C135" s="2" t="s">
        <v>71</v>
      </c>
      <c r="D135" s="2" t="s">
        <v>167</v>
      </c>
      <c r="E135" s="2" t="s">
        <v>52</v>
      </c>
      <c r="F135" s="10" t="s">
        <v>30</v>
      </c>
      <c r="G135" s="10">
        <v>2</v>
      </c>
      <c r="H135" s="2" t="s">
        <v>39</v>
      </c>
      <c r="I135" s="7" t="str">
        <f>HYPERLINK("mapany/outputs_extras/eth3d_terrace_2_b_scen_2/reconstruction.glb","mapany/outputs_extras/eth3d_terrace_2_b_scen_2/reconstruction.glb")</f>
        <v>mapany/outputs_extras/eth3d_terrace_2_b_scen_2/reconstruction.glb</v>
      </c>
      <c r="J135" s="6" t="s">
        <v>171</v>
      </c>
      <c r="K135" s="3" t="s">
        <v>32</v>
      </c>
      <c r="L135" s="3">
        <v>2</v>
      </c>
      <c r="M135" s="3">
        <v>2</v>
      </c>
      <c r="N135" s="3">
        <v>2</v>
      </c>
      <c r="O135" s="3">
        <v>2</v>
      </c>
      <c r="P135" s="4">
        <f t="shared" si="8"/>
        <v>8</v>
      </c>
      <c r="Q135" s="3" t="s">
        <v>27</v>
      </c>
      <c r="R135" s="6" t="str">
        <f t="shared" si="9"/>
        <v>OK</v>
      </c>
      <c r="S135" s="6" t="s">
        <v>172</v>
      </c>
    </row>
    <row r="136" spans="1:19" ht="33.950000000000003" customHeight="1" x14ac:dyDescent="0.25">
      <c r="A136" s="10">
        <v>135</v>
      </c>
      <c r="B136" s="2" t="s">
        <v>173</v>
      </c>
      <c r="C136" s="2" t="s">
        <v>71</v>
      </c>
      <c r="D136" s="2" t="s">
        <v>167</v>
      </c>
      <c r="E136" s="2" t="s">
        <v>52</v>
      </c>
      <c r="F136" s="10" t="s">
        <v>35</v>
      </c>
      <c r="G136" s="10">
        <v>2</v>
      </c>
      <c r="H136" s="2" t="s">
        <v>39</v>
      </c>
      <c r="I136" s="7" t="str">
        <f>HYPERLINK("mapany/outputs_extras/eth3d_terrace_2_c_scen_2/reconstruction.glb","mapany/outputs_extras/eth3d_terrace_2_c_scen_2/reconstruction.glb")</f>
        <v>mapany/outputs_extras/eth3d_terrace_2_c_scen_2/reconstruction.glb</v>
      </c>
      <c r="J136" s="6" t="s">
        <v>174</v>
      </c>
      <c r="K136" s="3" t="s">
        <v>32</v>
      </c>
      <c r="L136" s="3">
        <v>2</v>
      </c>
      <c r="M136" s="3">
        <v>2</v>
      </c>
      <c r="N136" s="3">
        <v>2</v>
      </c>
      <c r="O136" s="3">
        <v>2</v>
      </c>
      <c r="P136" s="4">
        <f t="shared" si="8"/>
        <v>8</v>
      </c>
      <c r="Q136" s="3" t="s">
        <v>27</v>
      </c>
      <c r="R136" s="6" t="str">
        <f t="shared" si="9"/>
        <v>OK</v>
      </c>
      <c r="S136" s="6" t="s">
        <v>175</v>
      </c>
    </row>
    <row r="137" spans="1:19" ht="33.950000000000003" customHeight="1" x14ac:dyDescent="0.25">
      <c r="A137" s="10">
        <v>136</v>
      </c>
      <c r="B137" s="2" t="s">
        <v>176</v>
      </c>
      <c r="C137" s="2" t="s">
        <v>71</v>
      </c>
      <c r="D137" s="2" t="s">
        <v>167</v>
      </c>
      <c r="E137" s="2" t="s">
        <v>52</v>
      </c>
      <c r="F137" s="10" t="s">
        <v>23</v>
      </c>
      <c r="G137" s="10">
        <v>4</v>
      </c>
      <c r="H137" s="2" t="s">
        <v>24</v>
      </c>
      <c r="I137" s="7" t="str">
        <f>HYPERLINK("vggt/outputs/eth3d_terrace_2_scen_3/reconstruction.glb","vggt/outputs/eth3d_terrace_2_scen_3/reconstruction.glb")</f>
        <v>vggt/outputs/eth3d_terrace_2_scen_3/reconstruction.glb</v>
      </c>
      <c r="J137" s="6" t="s">
        <v>177</v>
      </c>
      <c r="K137" s="3" t="s">
        <v>26</v>
      </c>
      <c r="L137" s="3">
        <v>1</v>
      </c>
      <c r="M137" s="3">
        <v>2</v>
      </c>
      <c r="N137" s="3">
        <v>2</v>
      </c>
      <c r="O137" s="3">
        <v>1</v>
      </c>
      <c r="P137" s="4">
        <f t="shared" si="8"/>
        <v>6</v>
      </c>
      <c r="Q137" s="3" t="s">
        <v>27</v>
      </c>
      <c r="R137" s="6" t="str">
        <f t="shared" si="9"/>
        <v>OK</v>
      </c>
      <c r="S137" s="6" t="s">
        <v>178</v>
      </c>
    </row>
    <row r="138" spans="1:19" ht="33.950000000000003" customHeight="1" x14ac:dyDescent="0.25">
      <c r="A138" s="10">
        <v>137</v>
      </c>
      <c r="B138" s="2" t="s">
        <v>179</v>
      </c>
      <c r="C138" s="2" t="s">
        <v>71</v>
      </c>
      <c r="D138" s="2" t="s">
        <v>167</v>
      </c>
      <c r="E138" s="2" t="s">
        <v>52</v>
      </c>
      <c r="F138" s="10" t="s">
        <v>30</v>
      </c>
      <c r="G138" s="10">
        <v>4</v>
      </c>
      <c r="H138" s="2" t="s">
        <v>24</v>
      </c>
      <c r="I138" s="7" t="str">
        <f>HYPERLINK("vggt/outputs_extras/eth3d_terrace_2_b_scen_3/reconstruction.glb","vggt/outputs_extras/eth3d_terrace_2_b_scen_3/reconstruction.glb")</f>
        <v>vggt/outputs_extras/eth3d_terrace_2_b_scen_3/reconstruction.glb</v>
      </c>
      <c r="J138" s="6" t="s">
        <v>180</v>
      </c>
      <c r="K138" s="3" t="s">
        <v>32</v>
      </c>
      <c r="L138" s="3">
        <v>1</v>
      </c>
      <c r="M138" s="3">
        <v>2</v>
      </c>
      <c r="N138" s="3">
        <v>2</v>
      </c>
      <c r="O138" s="3">
        <v>1</v>
      </c>
      <c r="P138" s="4">
        <f t="shared" si="8"/>
        <v>6</v>
      </c>
      <c r="Q138" s="3" t="s">
        <v>27</v>
      </c>
      <c r="R138" s="6" t="str">
        <f t="shared" si="9"/>
        <v>OK</v>
      </c>
      <c r="S138" s="6" t="s">
        <v>181</v>
      </c>
    </row>
    <row r="139" spans="1:19" ht="33.950000000000003" customHeight="1" x14ac:dyDescent="0.25">
      <c r="A139" s="10">
        <v>138</v>
      </c>
      <c r="B139" s="2" t="s">
        <v>182</v>
      </c>
      <c r="C139" s="2" t="s">
        <v>71</v>
      </c>
      <c r="D139" s="2" t="s">
        <v>167</v>
      </c>
      <c r="E139" s="2" t="s">
        <v>52</v>
      </c>
      <c r="F139" s="10" t="s">
        <v>35</v>
      </c>
      <c r="G139" s="10">
        <v>4</v>
      </c>
      <c r="H139" s="2" t="s">
        <v>24</v>
      </c>
      <c r="I139" s="7" t="str">
        <f>HYPERLINK("vggt/outputs_extras/eth3d_terrace_2_c_scen_3/reconstruction.glb","vggt/outputs_extras/eth3d_terrace_2_c_scen_3/reconstruction.glb")</f>
        <v>vggt/outputs_extras/eth3d_terrace_2_c_scen_3/reconstruction.glb</v>
      </c>
      <c r="J139" s="6" t="s">
        <v>183</v>
      </c>
      <c r="K139" s="3" t="s">
        <v>32</v>
      </c>
      <c r="L139" s="3">
        <v>1</v>
      </c>
      <c r="M139" s="3">
        <v>2</v>
      </c>
      <c r="N139" s="3">
        <v>2</v>
      </c>
      <c r="O139" s="3">
        <v>1</v>
      </c>
      <c r="P139" s="4">
        <f t="shared" si="8"/>
        <v>6</v>
      </c>
      <c r="Q139" s="3" t="s">
        <v>27</v>
      </c>
      <c r="R139" s="6" t="str">
        <f t="shared" si="9"/>
        <v>OK</v>
      </c>
      <c r="S139" s="6" t="s">
        <v>184</v>
      </c>
    </row>
    <row r="140" spans="1:19" ht="33.950000000000003" customHeight="1" x14ac:dyDescent="0.25">
      <c r="A140" s="10">
        <v>139</v>
      </c>
      <c r="B140" s="2" t="s">
        <v>176</v>
      </c>
      <c r="C140" s="2" t="s">
        <v>71</v>
      </c>
      <c r="D140" s="2" t="s">
        <v>167</v>
      </c>
      <c r="E140" s="2" t="s">
        <v>52</v>
      </c>
      <c r="F140" s="10" t="s">
        <v>23</v>
      </c>
      <c r="G140" s="10">
        <v>4</v>
      </c>
      <c r="H140" s="2" t="s">
        <v>38</v>
      </c>
      <c r="I140" s="7" t="str">
        <f>HYPERLINK("mast3r/outputs/eth3d_terrace_2_scen_3/reconstruction.glb","mast3r/outputs/eth3d_terrace_2_scen_3/reconstruction.glb")</f>
        <v>mast3r/outputs/eth3d_terrace_2_scen_3/reconstruction.glb</v>
      </c>
      <c r="J140" s="6" t="s">
        <v>177</v>
      </c>
      <c r="K140" s="3" t="s">
        <v>26</v>
      </c>
      <c r="L140" s="3">
        <v>2</v>
      </c>
      <c r="M140" s="3">
        <v>1</v>
      </c>
      <c r="N140" s="3">
        <v>1</v>
      </c>
      <c r="O140" s="3">
        <v>2</v>
      </c>
      <c r="P140" s="4">
        <f t="shared" si="8"/>
        <v>6</v>
      </c>
      <c r="Q140" s="3" t="s">
        <v>27</v>
      </c>
      <c r="R140" s="6" t="str">
        <f t="shared" si="9"/>
        <v>OK</v>
      </c>
      <c r="S140" s="6" t="s">
        <v>178</v>
      </c>
    </row>
    <row r="141" spans="1:19" ht="33.950000000000003" customHeight="1" x14ac:dyDescent="0.25">
      <c r="A141" s="10">
        <v>140</v>
      </c>
      <c r="B141" s="2" t="s">
        <v>179</v>
      </c>
      <c r="C141" s="2" t="s">
        <v>71</v>
      </c>
      <c r="D141" s="2" t="s">
        <v>167</v>
      </c>
      <c r="E141" s="2" t="s">
        <v>52</v>
      </c>
      <c r="F141" s="10" t="s">
        <v>30</v>
      </c>
      <c r="G141" s="10">
        <v>4</v>
      </c>
      <c r="H141" s="2" t="s">
        <v>38</v>
      </c>
      <c r="I141" s="7" t="str">
        <f>HYPERLINK("mast3r/outputs_extras/eth3d_terrace_2_b_scen_3/reconstruction.glb","mast3r/outputs_extras/eth3d_terrace_2_b_scen_3/reconstruction.glb")</f>
        <v>mast3r/outputs_extras/eth3d_terrace_2_b_scen_3/reconstruction.glb</v>
      </c>
      <c r="J141" s="6" t="s">
        <v>180</v>
      </c>
      <c r="K141" s="3" t="s">
        <v>32</v>
      </c>
      <c r="L141" s="3">
        <v>2</v>
      </c>
      <c r="M141" s="3">
        <v>1</v>
      </c>
      <c r="N141" s="3">
        <v>1</v>
      </c>
      <c r="O141" s="3">
        <v>2</v>
      </c>
      <c r="P141" s="4">
        <f t="shared" si="8"/>
        <v>6</v>
      </c>
      <c r="Q141" s="3" t="s">
        <v>27</v>
      </c>
      <c r="R141" s="6" t="str">
        <f t="shared" si="9"/>
        <v>OK</v>
      </c>
      <c r="S141" s="6" t="s">
        <v>181</v>
      </c>
    </row>
    <row r="142" spans="1:19" ht="33.950000000000003" customHeight="1" x14ac:dyDescent="0.25">
      <c r="A142" s="10">
        <v>141</v>
      </c>
      <c r="B142" s="2" t="s">
        <v>182</v>
      </c>
      <c r="C142" s="2" t="s">
        <v>71</v>
      </c>
      <c r="D142" s="2" t="s">
        <v>167</v>
      </c>
      <c r="E142" s="2" t="s">
        <v>52</v>
      </c>
      <c r="F142" s="10" t="s">
        <v>35</v>
      </c>
      <c r="G142" s="10">
        <v>4</v>
      </c>
      <c r="H142" s="2" t="s">
        <v>38</v>
      </c>
      <c r="I142" s="7" t="str">
        <f>HYPERLINK("mast3r/outputs_extras/eth3d_terrace_2_c_scen_3/reconstruction.glb","mast3r/outputs_extras/eth3d_terrace_2_c_scen_3/reconstruction.glb")</f>
        <v>mast3r/outputs_extras/eth3d_terrace_2_c_scen_3/reconstruction.glb</v>
      </c>
      <c r="J142" s="6" t="s">
        <v>183</v>
      </c>
      <c r="K142" s="3" t="s">
        <v>32</v>
      </c>
      <c r="L142" s="3">
        <v>2</v>
      </c>
      <c r="M142" s="3">
        <v>1</v>
      </c>
      <c r="N142" s="3">
        <v>1</v>
      </c>
      <c r="O142" s="3">
        <v>2</v>
      </c>
      <c r="P142" s="4">
        <f t="shared" si="8"/>
        <v>6</v>
      </c>
      <c r="Q142" s="3" t="s">
        <v>27</v>
      </c>
      <c r="R142" s="6" t="str">
        <f t="shared" si="9"/>
        <v>OK</v>
      </c>
      <c r="S142" s="6" t="s">
        <v>184</v>
      </c>
    </row>
    <row r="143" spans="1:19" ht="33.950000000000003" customHeight="1" x14ac:dyDescent="0.25">
      <c r="A143" s="10">
        <v>142</v>
      </c>
      <c r="B143" s="2" t="s">
        <v>176</v>
      </c>
      <c r="C143" s="2" t="s">
        <v>71</v>
      </c>
      <c r="D143" s="2" t="s">
        <v>167</v>
      </c>
      <c r="E143" s="2" t="s">
        <v>52</v>
      </c>
      <c r="F143" s="10" t="s">
        <v>23</v>
      </c>
      <c r="G143" s="10">
        <v>4</v>
      </c>
      <c r="H143" s="2" t="s">
        <v>39</v>
      </c>
      <c r="I143" s="7" t="str">
        <f>HYPERLINK("mapany/outputs/eth3d_terrace_2_scen_3/reconstruction.glb","mapany/outputs/eth3d_terrace_2_scen_3/reconstruction.glb")</f>
        <v>mapany/outputs/eth3d_terrace_2_scen_3/reconstruction.glb</v>
      </c>
      <c r="J143" s="6" t="s">
        <v>177</v>
      </c>
      <c r="K143" s="3" t="s">
        <v>26</v>
      </c>
      <c r="L143" s="3">
        <v>2</v>
      </c>
      <c r="M143" s="3">
        <v>1</v>
      </c>
      <c r="N143" s="3">
        <v>2</v>
      </c>
      <c r="O143" s="3">
        <v>2</v>
      </c>
      <c r="P143" s="4">
        <f t="shared" si="8"/>
        <v>7</v>
      </c>
      <c r="Q143" s="3" t="s">
        <v>27</v>
      </c>
      <c r="R143" s="6" t="str">
        <f t="shared" si="9"/>
        <v>OK</v>
      </c>
      <c r="S143" s="6" t="s">
        <v>178</v>
      </c>
    </row>
    <row r="144" spans="1:19" ht="33.950000000000003" customHeight="1" x14ac:dyDescent="0.25">
      <c r="A144" s="10">
        <v>143</v>
      </c>
      <c r="B144" s="2" t="s">
        <v>179</v>
      </c>
      <c r="C144" s="2" t="s">
        <v>71</v>
      </c>
      <c r="D144" s="2" t="s">
        <v>167</v>
      </c>
      <c r="E144" s="2" t="s">
        <v>52</v>
      </c>
      <c r="F144" s="10" t="s">
        <v>30</v>
      </c>
      <c r="G144" s="10">
        <v>4</v>
      </c>
      <c r="H144" s="2" t="s">
        <v>39</v>
      </c>
      <c r="I144" s="7" t="str">
        <f>HYPERLINK("mapany/outputs_extras/eth3d_terrace_2_b_scen_3/reconstruction.glb","mapany/outputs_extras/eth3d_terrace_2_b_scen_3/reconstruction.glb")</f>
        <v>mapany/outputs_extras/eth3d_terrace_2_b_scen_3/reconstruction.glb</v>
      </c>
      <c r="J144" s="6" t="s">
        <v>180</v>
      </c>
      <c r="K144" s="3" t="s">
        <v>32</v>
      </c>
      <c r="L144" s="3">
        <v>2</v>
      </c>
      <c r="M144" s="3">
        <v>1</v>
      </c>
      <c r="N144" s="3">
        <v>2</v>
      </c>
      <c r="O144" s="3">
        <v>2</v>
      </c>
      <c r="P144" s="4">
        <f t="shared" si="8"/>
        <v>7</v>
      </c>
      <c r="Q144" s="3" t="s">
        <v>27</v>
      </c>
      <c r="R144" s="6" t="str">
        <f t="shared" si="9"/>
        <v>OK</v>
      </c>
      <c r="S144" s="6" t="s">
        <v>181</v>
      </c>
    </row>
    <row r="145" spans="1:19" ht="33.950000000000003" customHeight="1" x14ac:dyDescent="0.25">
      <c r="A145" s="10">
        <v>144</v>
      </c>
      <c r="B145" s="2" t="s">
        <v>182</v>
      </c>
      <c r="C145" s="2" t="s">
        <v>71</v>
      </c>
      <c r="D145" s="2" t="s">
        <v>167</v>
      </c>
      <c r="E145" s="2" t="s">
        <v>52</v>
      </c>
      <c r="F145" s="10" t="s">
        <v>35</v>
      </c>
      <c r="G145" s="10">
        <v>4</v>
      </c>
      <c r="H145" s="2" t="s">
        <v>39</v>
      </c>
      <c r="I145" s="7" t="str">
        <f>HYPERLINK("mapany/outputs_extras/eth3d_terrace_2_c_scen_3/reconstruction.glb","mapany/outputs_extras/eth3d_terrace_2_c_scen_3/reconstruction.glb")</f>
        <v>mapany/outputs_extras/eth3d_terrace_2_c_scen_3/reconstruction.glb</v>
      </c>
      <c r="J145" s="6" t="s">
        <v>183</v>
      </c>
      <c r="K145" s="3" t="s">
        <v>32</v>
      </c>
      <c r="L145" s="3">
        <v>2</v>
      </c>
      <c r="M145" s="3">
        <v>1</v>
      </c>
      <c r="N145" s="3">
        <v>2</v>
      </c>
      <c r="O145" s="3">
        <v>2</v>
      </c>
      <c r="P145" s="4">
        <f t="shared" si="8"/>
        <v>7</v>
      </c>
      <c r="Q145" s="3" t="s">
        <v>27</v>
      </c>
      <c r="R145" s="6" t="str">
        <f t="shared" si="9"/>
        <v>OK</v>
      </c>
      <c r="S145" s="6" t="s">
        <v>184</v>
      </c>
    </row>
    <row r="146" spans="1:19" ht="33.950000000000003" customHeight="1" x14ac:dyDescent="0.25">
      <c r="A146" s="10">
        <v>145</v>
      </c>
      <c r="B146" s="2" t="s">
        <v>185</v>
      </c>
      <c r="C146" s="2" t="s">
        <v>20</v>
      </c>
      <c r="D146" s="2" t="s">
        <v>186</v>
      </c>
      <c r="E146" s="2" t="s">
        <v>92</v>
      </c>
      <c r="F146" s="10" t="s">
        <v>23</v>
      </c>
      <c r="G146" s="10">
        <v>2</v>
      </c>
      <c r="H146" s="2" t="s">
        <v>24</v>
      </c>
      <c r="I146" s="7" t="str">
        <f>HYPERLINK("vggt/outputs/llff_trex_scen_2/reconstruction.glb","vggt/outputs/llff_trex_scen_2/reconstruction.glb")</f>
        <v>vggt/outputs/llff_trex_scen_2/reconstruction.glb</v>
      </c>
      <c r="J146" s="6" t="s">
        <v>187</v>
      </c>
      <c r="K146" s="3" t="s">
        <v>26</v>
      </c>
      <c r="L146" s="3">
        <v>2</v>
      </c>
      <c r="M146" s="3">
        <v>1</v>
      </c>
      <c r="N146" s="3">
        <v>1</v>
      </c>
      <c r="O146" s="3">
        <v>2</v>
      </c>
      <c r="P146" s="4">
        <f t="shared" si="8"/>
        <v>6</v>
      </c>
      <c r="Q146" s="3" t="s">
        <v>27</v>
      </c>
      <c r="R146" s="6" t="str">
        <f t="shared" si="9"/>
        <v>OK</v>
      </c>
      <c r="S146" s="6" t="s">
        <v>188</v>
      </c>
    </row>
    <row r="147" spans="1:19" ht="33.950000000000003" customHeight="1" x14ac:dyDescent="0.25">
      <c r="A147" s="10">
        <v>146</v>
      </c>
      <c r="B147" s="2" t="s">
        <v>189</v>
      </c>
      <c r="C147" s="2" t="s">
        <v>20</v>
      </c>
      <c r="D147" s="2" t="s">
        <v>186</v>
      </c>
      <c r="E147" s="2" t="s">
        <v>92</v>
      </c>
      <c r="F147" s="10" t="s">
        <v>30</v>
      </c>
      <c r="G147" s="10">
        <v>2</v>
      </c>
      <c r="H147" s="2" t="s">
        <v>24</v>
      </c>
      <c r="I147" s="7" t="str">
        <f>HYPERLINK("vggt/outputs_extras/llff_trex_b_scen_2/reconstruction.glb","vggt/outputs_extras/llff_trex_b_scen_2/reconstruction.glb")</f>
        <v>vggt/outputs_extras/llff_trex_b_scen_2/reconstruction.glb</v>
      </c>
      <c r="J147" s="6" t="s">
        <v>190</v>
      </c>
      <c r="K147" s="3" t="s">
        <v>32</v>
      </c>
      <c r="L147" s="3">
        <v>2</v>
      </c>
      <c r="M147" s="3">
        <v>1</v>
      </c>
      <c r="N147" s="3">
        <v>1</v>
      </c>
      <c r="O147" s="3">
        <v>2</v>
      </c>
      <c r="P147" s="4">
        <f t="shared" si="8"/>
        <v>6</v>
      </c>
      <c r="Q147" s="3" t="s">
        <v>27</v>
      </c>
      <c r="R147" s="6" t="str">
        <f t="shared" si="9"/>
        <v>OK</v>
      </c>
      <c r="S147" s="6" t="s">
        <v>191</v>
      </c>
    </row>
    <row r="148" spans="1:19" ht="33.950000000000003" customHeight="1" x14ac:dyDescent="0.25">
      <c r="A148" s="10">
        <v>147</v>
      </c>
      <c r="B148" s="2" t="s">
        <v>192</v>
      </c>
      <c r="C148" s="2" t="s">
        <v>20</v>
      </c>
      <c r="D148" s="2" t="s">
        <v>186</v>
      </c>
      <c r="E148" s="2" t="s">
        <v>92</v>
      </c>
      <c r="F148" s="10" t="s">
        <v>35</v>
      </c>
      <c r="G148" s="10">
        <v>2</v>
      </c>
      <c r="H148" s="2" t="s">
        <v>24</v>
      </c>
      <c r="I148" s="7" t="str">
        <f>HYPERLINK("vggt/outputs_extras/llff_trex_c_scen_2/reconstruction.glb","vggt/outputs_extras/llff_trex_c_scen_2/reconstruction.glb")</f>
        <v>vggt/outputs_extras/llff_trex_c_scen_2/reconstruction.glb</v>
      </c>
      <c r="J148" s="6" t="s">
        <v>193</v>
      </c>
      <c r="K148" s="3" t="s">
        <v>32</v>
      </c>
      <c r="L148" s="3">
        <v>2</v>
      </c>
      <c r="M148" s="3">
        <v>1</v>
      </c>
      <c r="N148" s="3">
        <v>1</v>
      </c>
      <c r="O148" s="3">
        <v>2</v>
      </c>
      <c r="P148" s="4">
        <f t="shared" si="8"/>
        <v>6</v>
      </c>
      <c r="Q148" s="3" t="s">
        <v>27</v>
      </c>
      <c r="R148" s="6" t="str">
        <f t="shared" si="9"/>
        <v>OK</v>
      </c>
      <c r="S148" s="6" t="s">
        <v>194</v>
      </c>
    </row>
    <row r="149" spans="1:19" ht="33.950000000000003" customHeight="1" x14ac:dyDescent="0.25">
      <c r="A149" s="10">
        <v>148</v>
      </c>
      <c r="B149" s="2" t="s">
        <v>185</v>
      </c>
      <c r="C149" s="2" t="s">
        <v>20</v>
      </c>
      <c r="D149" s="2" t="s">
        <v>186</v>
      </c>
      <c r="E149" s="2" t="s">
        <v>92</v>
      </c>
      <c r="F149" s="10" t="s">
        <v>23</v>
      </c>
      <c r="G149" s="10">
        <v>2</v>
      </c>
      <c r="H149" s="2" t="s">
        <v>38</v>
      </c>
      <c r="I149" s="7" t="str">
        <f>HYPERLINK("mast3r/outputs/llff_trex_scen_2/reconstruction.glb","mast3r/outputs/llff_trex_scen_2/reconstruction.glb")</f>
        <v>mast3r/outputs/llff_trex_scen_2/reconstruction.glb</v>
      </c>
      <c r="J149" s="6" t="s">
        <v>187</v>
      </c>
      <c r="K149" s="3" t="s">
        <v>26</v>
      </c>
      <c r="L149" s="3">
        <v>1</v>
      </c>
      <c r="M149" s="3">
        <v>1</v>
      </c>
      <c r="N149" s="3">
        <v>2</v>
      </c>
      <c r="O149" s="3">
        <v>1</v>
      </c>
      <c r="P149" s="4">
        <f t="shared" si="8"/>
        <v>5</v>
      </c>
      <c r="Q149" s="3" t="s">
        <v>27</v>
      </c>
      <c r="R149" s="6" t="str">
        <f t="shared" si="9"/>
        <v>OK</v>
      </c>
      <c r="S149" s="6" t="s">
        <v>188</v>
      </c>
    </row>
    <row r="150" spans="1:19" ht="33.950000000000003" customHeight="1" x14ac:dyDescent="0.25">
      <c r="A150" s="10">
        <v>149</v>
      </c>
      <c r="B150" s="2" t="s">
        <v>189</v>
      </c>
      <c r="C150" s="2" t="s">
        <v>20</v>
      </c>
      <c r="D150" s="2" t="s">
        <v>186</v>
      </c>
      <c r="E150" s="2" t="s">
        <v>92</v>
      </c>
      <c r="F150" s="10" t="s">
        <v>30</v>
      </c>
      <c r="G150" s="10">
        <v>2</v>
      </c>
      <c r="H150" s="2" t="s">
        <v>38</v>
      </c>
      <c r="I150" s="7" t="str">
        <f>HYPERLINK("mast3r/outputs_extras/llff_trex_b_scen_2/reconstruction.glb","mast3r/outputs_extras/llff_trex_b_scen_2/reconstruction.glb")</f>
        <v>mast3r/outputs_extras/llff_trex_b_scen_2/reconstruction.glb</v>
      </c>
      <c r="J150" s="6" t="s">
        <v>190</v>
      </c>
      <c r="K150" s="3" t="s">
        <v>32</v>
      </c>
      <c r="L150" s="3">
        <v>1</v>
      </c>
      <c r="M150" s="3">
        <v>1</v>
      </c>
      <c r="N150" s="3">
        <v>2</v>
      </c>
      <c r="O150" s="3">
        <v>1</v>
      </c>
      <c r="P150" s="4">
        <f t="shared" si="8"/>
        <v>5</v>
      </c>
      <c r="Q150" s="3" t="s">
        <v>27</v>
      </c>
      <c r="R150" s="6" t="str">
        <f t="shared" si="9"/>
        <v>OK</v>
      </c>
      <c r="S150" s="6" t="s">
        <v>191</v>
      </c>
    </row>
    <row r="151" spans="1:19" ht="33.950000000000003" customHeight="1" x14ac:dyDescent="0.25">
      <c r="A151" s="10">
        <v>150</v>
      </c>
      <c r="B151" s="2" t="s">
        <v>192</v>
      </c>
      <c r="C151" s="2" t="s">
        <v>20</v>
      </c>
      <c r="D151" s="2" t="s">
        <v>186</v>
      </c>
      <c r="E151" s="2" t="s">
        <v>92</v>
      </c>
      <c r="F151" s="10" t="s">
        <v>35</v>
      </c>
      <c r="G151" s="10">
        <v>2</v>
      </c>
      <c r="H151" s="2" t="s">
        <v>38</v>
      </c>
      <c r="I151" s="7" t="str">
        <f>HYPERLINK("mast3r/outputs_extras/llff_trex_c_scen_2/reconstruction.glb","mast3r/outputs_extras/llff_trex_c_scen_2/reconstruction.glb")</f>
        <v>mast3r/outputs_extras/llff_trex_c_scen_2/reconstruction.glb</v>
      </c>
      <c r="J151" s="6" t="s">
        <v>193</v>
      </c>
      <c r="K151" s="3" t="s">
        <v>32</v>
      </c>
      <c r="L151" s="3">
        <v>1</v>
      </c>
      <c r="M151" s="3">
        <v>1</v>
      </c>
      <c r="N151" s="3">
        <v>1</v>
      </c>
      <c r="O151" s="3">
        <v>1</v>
      </c>
      <c r="P151" s="4">
        <f t="shared" si="8"/>
        <v>4</v>
      </c>
      <c r="Q151" s="3" t="s">
        <v>27</v>
      </c>
      <c r="R151" s="6" t="str">
        <f t="shared" si="9"/>
        <v>OK</v>
      </c>
      <c r="S151" s="6" t="s">
        <v>194</v>
      </c>
    </row>
    <row r="152" spans="1:19" ht="33.950000000000003" customHeight="1" x14ac:dyDescent="0.25">
      <c r="A152" s="10">
        <v>151</v>
      </c>
      <c r="B152" s="2" t="s">
        <v>185</v>
      </c>
      <c r="C152" s="2" t="s">
        <v>20</v>
      </c>
      <c r="D152" s="2" t="s">
        <v>186</v>
      </c>
      <c r="E152" s="2" t="s">
        <v>92</v>
      </c>
      <c r="F152" s="10" t="s">
        <v>23</v>
      </c>
      <c r="G152" s="10">
        <v>2</v>
      </c>
      <c r="H152" s="2" t="s">
        <v>39</v>
      </c>
      <c r="I152" s="7" t="str">
        <f>HYPERLINK("mapany/outputs/llff_trex_scen_2/reconstruction.glb","mapany/outputs/llff_trex_scen_2/reconstruction.glb")</f>
        <v>mapany/outputs/llff_trex_scen_2/reconstruction.glb</v>
      </c>
      <c r="J152" s="6" t="s">
        <v>187</v>
      </c>
      <c r="K152" s="3" t="s">
        <v>26</v>
      </c>
      <c r="L152" s="3">
        <v>3</v>
      </c>
      <c r="M152" s="3">
        <v>2</v>
      </c>
      <c r="N152" s="3">
        <v>1</v>
      </c>
      <c r="O152" s="3">
        <v>2</v>
      </c>
      <c r="P152" s="4">
        <f t="shared" si="8"/>
        <v>8</v>
      </c>
      <c r="Q152" s="3" t="s">
        <v>27</v>
      </c>
      <c r="R152" s="6" t="str">
        <f t="shared" si="9"/>
        <v>OK</v>
      </c>
      <c r="S152" s="6" t="s">
        <v>188</v>
      </c>
    </row>
    <row r="153" spans="1:19" ht="33.950000000000003" customHeight="1" x14ac:dyDescent="0.25">
      <c r="A153" s="10">
        <v>152</v>
      </c>
      <c r="B153" s="2" t="s">
        <v>189</v>
      </c>
      <c r="C153" s="2" t="s">
        <v>20</v>
      </c>
      <c r="D153" s="2" t="s">
        <v>186</v>
      </c>
      <c r="E153" s="2" t="s">
        <v>92</v>
      </c>
      <c r="F153" s="10" t="s">
        <v>30</v>
      </c>
      <c r="G153" s="10">
        <v>2</v>
      </c>
      <c r="H153" s="2" t="s">
        <v>39</v>
      </c>
      <c r="I153" s="7" t="str">
        <f>HYPERLINK("mapany/outputs_extras/llff_trex_b_scen_2/reconstruction.glb","mapany/outputs_extras/llff_trex_b_scen_2/reconstruction.glb")</f>
        <v>mapany/outputs_extras/llff_trex_b_scen_2/reconstruction.glb</v>
      </c>
      <c r="J153" s="6" t="s">
        <v>190</v>
      </c>
      <c r="K153" s="3" t="s">
        <v>32</v>
      </c>
      <c r="L153" s="3">
        <v>3</v>
      </c>
      <c r="M153" s="3">
        <v>2</v>
      </c>
      <c r="N153" s="3">
        <v>1</v>
      </c>
      <c r="O153" s="3">
        <v>2</v>
      </c>
      <c r="P153" s="4">
        <f t="shared" si="8"/>
        <v>8</v>
      </c>
      <c r="Q153" s="3" t="s">
        <v>27</v>
      </c>
      <c r="R153" s="6" t="str">
        <f t="shared" si="9"/>
        <v>OK</v>
      </c>
      <c r="S153" s="6" t="s">
        <v>191</v>
      </c>
    </row>
    <row r="154" spans="1:19" ht="33.950000000000003" customHeight="1" x14ac:dyDescent="0.25">
      <c r="A154" s="10">
        <v>153</v>
      </c>
      <c r="B154" s="2" t="s">
        <v>192</v>
      </c>
      <c r="C154" s="2" t="s">
        <v>20</v>
      </c>
      <c r="D154" s="2" t="s">
        <v>186</v>
      </c>
      <c r="E154" s="2" t="s">
        <v>92</v>
      </c>
      <c r="F154" s="10" t="s">
        <v>35</v>
      </c>
      <c r="G154" s="10">
        <v>2</v>
      </c>
      <c r="H154" s="2" t="s">
        <v>39</v>
      </c>
      <c r="I154" s="7" t="str">
        <f>HYPERLINK("mapany/outputs_extras/llff_trex_c_scen_2/reconstruction.glb","mapany/outputs_extras/llff_trex_c_scen_2/reconstruction.glb")</f>
        <v>mapany/outputs_extras/llff_trex_c_scen_2/reconstruction.glb</v>
      </c>
      <c r="J154" s="6" t="s">
        <v>193</v>
      </c>
      <c r="K154" s="3" t="s">
        <v>32</v>
      </c>
      <c r="L154" s="3">
        <v>3</v>
      </c>
      <c r="M154" s="3">
        <v>2</v>
      </c>
      <c r="N154" s="3">
        <v>1</v>
      </c>
      <c r="O154" s="3">
        <v>2</v>
      </c>
      <c r="P154" s="4">
        <f t="shared" si="8"/>
        <v>8</v>
      </c>
      <c r="Q154" s="3" t="s">
        <v>27</v>
      </c>
      <c r="R154" s="6" t="str">
        <f t="shared" si="9"/>
        <v>OK</v>
      </c>
      <c r="S154" s="6" t="s">
        <v>194</v>
      </c>
    </row>
    <row r="155" spans="1:19" ht="33.950000000000003" customHeight="1" x14ac:dyDescent="0.25">
      <c r="A155" s="10">
        <v>154</v>
      </c>
      <c r="B155" s="2" t="s">
        <v>195</v>
      </c>
      <c r="C155" s="2" t="s">
        <v>20</v>
      </c>
      <c r="D155" s="2" t="s">
        <v>186</v>
      </c>
      <c r="E155" s="2" t="s">
        <v>92</v>
      </c>
      <c r="F155" s="10" t="s">
        <v>23</v>
      </c>
      <c r="G155" s="10">
        <v>4</v>
      </c>
      <c r="H155" s="2" t="s">
        <v>24</v>
      </c>
      <c r="I155" s="7" t="str">
        <f>HYPERLINK("vggt/outputs/llff_trex_scen_3/reconstruction.glb","vggt/outputs/llff_trex_scen_3/reconstruction.glb")</f>
        <v>vggt/outputs/llff_trex_scen_3/reconstruction.glb</v>
      </c>
      <c r="J155" s="6" t="s">
        <v>196</v>
      </c>
      <c r="K155" s="3" t="s">
        <v>26</v>
      </c>
      <c r="L155" s="3">
        <v>2</v>
      </c>
      <c r="M155" s="3">
        <v>2</v>
      </c>
      <c r="N155" s="3">
        <v>1</v>
      </c>
      <c r="O155" s="3">
        <v>2</v>
      </c>
      <c r="P155" s="4">
        <f t="shared" si="8"/>
        <v>7</v>
      </c>
      <c r="Q155" s="3" t="s">
        <v>27</v>
      </c>
      <c r="R155" s="6" t="str">
        <f t="shared" si="9"/>
        <v>OK</v>
      </c>
      <c r="S155" s="6" t="s">
        <v>197</v>
      </c>
    </row>
    <row r="156" spans="1:19" ht="33.950000000000003" customHeight="1" x14ac:dyDescent="0.25">
      <c r="A156" s="10">
        <v>155</v>
      </c>
      <c r="B156" s="2" t="s">
        <v>198</v>
      </c>
      <c r="C156" s="2" t="s">
        <v>20</v>
      </c>
      <c r="D156" s="2" t="s">
        <v>186</v>
      </c>
      <c r="E156" s="2" t="s">
        <v>92</v>
      </c>
      <c r="F156" s="10" t="s">
        <v>30</v>
      </c>
      <c r="G156" s="10">
        <v>4</v>
      </c>
      <c r="H156" s="2" t="s">
        <v>24</v>
      </c>
      <c r="I156" s="7" t="str">
        <f>HYPERLINK("vggt/outputs_extras/llff_trex_b_scen_3/reconstruction.glb","vggt/outputs_extras/llff_trex_b_scen_3/reconstruction.glb")</f>
        <v>vggt/outputs_extras/llff_trex_b_scen_3/reconstruction.glb</v>
      </c>
      <c r="J156" s="6" t="s">
        <v>199</v>
      </c>
      <c r="K156" s="3" t="s">
        <v>32</v>
      </c>
      <c r="L156" s="3">
        <v>2</v>
      </c>
      <c r="M156" s="3">
        <v>2</v>
      </c>
      <c r="N156" s="3">
        <v>1</v>
      </c>
      <c r="O156" s="3">
        <v>2</v>
      </c>
      <c r="P156" s="4">
        <f t="shared" si="8"/>
        <v>7</v>
      </c>
      <c r="Q156" s="3" t="s">
        <v>27</v>
      </c>
      <c r="R156" s="6" t="str">
        <f t="shared" si="9"/>
        <v>OK</v>
      </c>
      <c r="S156" s="6" t="s">
        <v>200</v>
      </c>
    </row>
    <row r="157" spans="1:19" ht="33.950000000000003" customHeight="1" x14ac:dyDescent="0.25">
      <c r="A157" s="10">
        <v>156</v>
      </c>
      <c r="B157" s="2" t="s">
        <v>201</v>
      </c>
      <c r="C157" s="2" t="s">
        <v>20</v>
      </c>
      <c r="D157" s="2" t="s">
        <v>186</v>
      </c>
      <c r="E157" s="2" t="s">
        <v>92</v>
      </c>
      <c r="F157" s="10" t="s">
        <v>35</v>
      </c>
      <c r="G157" s="10">
        <v>4</v>
      </c>
      <c r="H157" s="2" t="s">
        <v>24</v>
      </c>
      <c r="I157" s="7" t="str">
        <f>HYPERLINK("vggt/outputs_extras/llff_trex_c_scen_3/reconstruction.glb","vggt/outputs_extras/llff_trex_c_scen_3/reconstruction.glb")</f>
        <v>vggt/outputs_extras/llff_trex_c_scen_3/reconstruction.glb</v>
      </c>
      <c r="J157" s="6" t="s">
        <v>202</v>
      </c>
      <c r="K157" s="3" t="s">
        <v>32</v>
      </c>
      <c r="L157" s="3">
        <v>2</v>
      </c>
      <c r="M157" s="3">
        <v>2</v>
      </c>
      <c r="N157" s="3">
        <v>1</v>
      </c>
      <c r="O157" s="3">
        <v>2</v>
      </c>
      <c r="P157" s="4">
        <f t="shared" si="8"/>
        <v>7</v>
      </c>
      <c r="Q157" s="3" t="s">
        <v>27</v>
      </c>
      <c r="R157" s="6" t="str">
        <f t="shared" si="9"/>
        <v>OK</v>
      </c>
      <c r="S157" s="6" t="s">
        <v>203</v>
      </c>
    </row>
    <row r="158" spans="1:19" ht="33.950000000000003" customHeight="1" x14ac:dyDescent="0.25">
      <c r="A158" s="10">
        <v>157</v>
      </c>
      <c r="B158" s="2" t="s">
        <v>195</v>
      </c>
      <c r="C158" s="2" t="s">
        <v>20</v>
      </c>
      <c r="D158" s="2" t="s">
        <v>186</v>
      </c>
      <c r="E158" s="2" t="s">
        <v>92</v>
      </c>
      <c r="F158" s="10" t="s">
        <v>23</v>
      </c>
      <c r="G158" s="10">
        <v>4</v>
      </c>
      <c r="H158" s="2" t="s">
        <v>38</v>
      </c>
      <c r="I158" s="7" t="str">
        <f>HYPERLINK("mast3r/outputs/llff_trex_scen_3/reconstruction.glb","mast3r/outputs/llff_trex_scen_3/reconstruction.glb")</f>
        <v>mast3r/outputs/llff_trex_scen_3/reconstruction.glb</v>
      </c>
      <c r="J158" s="6" t="s">
        <v>196</v>
      </c>
      <c r="K158" s="3" t="s">
        <v>26</v>
      </c>
      <c r="L158" s="3">
        <v>1</v>
      </c>
      <c r="M158" s="3">
        <v>2</v>
      </c>
      <c r="N158" s="3">
        <v>1</v>
      </c>
      <c r="O158" s="3">
        <v>2</v>
      </c>
      <c r="P158" s="4">
        <f t="shared" si="8"/>
        <v>6</v>
      </c>
      <c r="Q158" s="3" t="s">
        <v>27</v>
      </c>
      <c r="R158" s="6" t="str">
        <f t="shared" si="9"/>
        <v>OK</v>
      </c>
      <c r="S158" s="6" t="s">
        <v>197</v>
      </c>
    </row>
    <row r="159" spans="1:19" ht="33.950000000000003" customHeight="1" x14ac:dyDescent="0.25">
      <c r="A159" s="10">
        <v>158</v>
      </c>
      <c r="B159" s="2" t="s">
        <v>198</v>
      </c>
      <c r="C159" s="2" t="s">
        <v>20</v>
      </c>
      <c r="D159" s="2" t="s">
        <v>186</v>
      </c>
      <c r="E159" s="2" t="s">
        <v>92</v>
      </c>
      <c r="F159" s="10" t="s">
        <v>30</v>
      </c>
      <c r="G159" s="10">
        <v>4</v>
      </c>
      <c r="H159" s="2" t="s">
        <v>38</v>
      </c>
      <c r="I159" s="7" t="str">
        <f>HYPERLINK("mast3r/outputs_extras/llff_trex_b_scen_3/reconstruction.glb","mast3r/outputs_extras/llff_trex_b_scen_3/reconstruction.glb")</f>
        <v>mast3r/outputs_extras/llff_trex_b_scen_3/reconstruction.glb</v>
      </c>
      <c r="J159" s="6" t="s">
        <v>199</v>
      </c>
      <c r="K159" s="3" t="s">
        <v>32</v>
      </c>
      <c r="L159" s="3">
        <v>1</v>
      </c>
      <c r="M159" s="3">
        <v>2</v>
      </c>
      <c r="N159" s="3">
        <v>1</v>
      </c>
      <c r="O159" s="3">
        <v>2</v>
      </c>
      <c r="P159" s="4">
        <f t="shared" si="8"/>
        <v>6</v>
      </c>
      <c r="Q159" s="3" t="s">
        <v>27</v>
      </c>
      <c r="R159" s="6" t="str">
        <f t="shared" si="9"/>
        <v>OK</v>
      </c>
      <c r="S159" s="6" t="s">
        <v>200</v>
      </c>
    </row>
    <row r="160" spans="1:19" ht="33.950000000000003" customHeight="1" x14ac:dyDescent="0.25">
      <c r="A160" s="10">
        <v>159</v>
      </c>
      <c r="B160" s="2" t="s">
        <v>201</v>
      </c>
      <c r="C160" s="2" t="s">
        <v>20</v>
      </c>
      <c r="D160" s="2" t="s">
        <v>186</v>
      </c>
      <c r="E160" s="2" t="s">
        <v>92</v>
      </c>
      <c r="F160" s="10" t="s">
        <v>35</v>
      </c>
      <c r="G160" s="10">
        <v>4</v>
      </c>
      <c r="H160" s="2" t="s">
        <v>38</v>
      </c>
      <c r="I160" s="7" t="str">
        <f>HYPERLINK("mast3r/outputs_extras/llff_trex_c_scen_3/reconstruction.glb","mast3r/outputs_extras/llff_trex_c_scen_3/reconstruction.glb")</f>
        <v>mast3r/outputs_extras/llff_trex_c_scen_3/reconstruction.glb</v>
      </c>
      <c r="J160" s="6" t="s">
        <v>202</v>
      </c>
      <c r="K160" s="3" t="s">
        <v>32</v>
      </c>
      <c r="L160" s="3">
        <v>1</v>
      </c>
      <c r="M160" s="3">
        <v>2</v>
      </c>
      <c r="N160" s="3">
        <v>1</v>
      </c>
      <c r="O160" s="3">
        <v>2</v>
      </c>
      <c r="P160" s="4">
        <f t="shared" si="8"/>
        <v>6</v>
      </c>
      <c r="Q160" s="3" t="s">
        <v>27</v>
      </c>
      <c r="R160" s="6" t="str">
        <f t="shared" si="9"/>
        <v>OK</v>
      </c>
      <c r="S160" s="6" t="s">
        <v>203</v>
      </c>
    </row>
    <row r="161" spans="1:19" ht="33.950000000000003" customHeight="1" x14ac:dyDescent="0.25">
      <c r="A161" s="10">
        <v>160</v>
      </c>
      <c r="B161" s="2" t="s">
        <v>195</v>
      </c>
      <c r="C161" s="2" t="s">
        <v>20</v>
      </c>
      <c r="D161" s="2" t="s">
        <v>186</v>
      </c>
      <c r="E161" s="2" t="s">
        <v>92</v>
      </c>
      <c r="F161" s="10" t="s">
        <v>23</v>
      </c>
      <c r="G161" s="10">
        <v>4</v>
      </c>
      <c r="H161" s="2" t="s">
        <v>39</v>
      </c>
      <c r="I161" s="7" t="str">
        <f>HYPERLINK("mapany/outputs/llff_trex_scen_3/reconstruction.glb","mapany/outputs/llff_trex_scen_3/reconstruction.glb")</f>
        <v>mapany/outputs/llff_trex_scen_3/reconstruction.glb</v>
      </c>
      <c r="J161" s="6" t="s">
        <v>196</v>
      </c>
      <c r="K161" s="3" t="s">
        <v>26</v>
      </c>
      <c r="L161" s="3">
        <v>3</v>
      </c>
      <c r="M161" s="3">
        <v>2</v>
      </c>
      <c r="N161" s="3">
        <v>1</v>
      </c>
      <c r="O161" s="3">
        <v>2</v>
      </c>
      <c r="P161" s="4">
        <f t="shared" si="8"/>
        <v>8</v>
      </c>
      <c r="Q161" s="3" t="s">
        <v>27</v>
      </c>
      <c r="R161" s="6" t="str">
        <f t="shared" si="9"/>
        <v>OK</v>
      </c>
      <c r="S161" s="6" t="s">
        <v>197</v>
      </c>
    </row>
    <row r="162" spans="1:19" ht="33.950000000000003" customHeight="1" x14ac:dyDescent="0.25">
      <c r="A162" s="10">
        <v>161</v>
      </c>
      <c r="B162" s="2" t="s">
        <v>198</v>
      </c>
      <c r="C162" s="2" t="s">
        <v>20</v>
      </c>
      <c r="D162" s="2" t="s">
        <v>186</v>
      </c>
      <c r="E162" s="2" t="s">
        <v>92</v>
      </c>
      <c r="F162" s="10" t="s">
        <v>30</v>
      </c>
      <c r="G162" s="10">
        <v>4</v>
      </c>
      <c r="H162" s="2" t="s">
        <v>39</v>
      </c>
      <c r="I162" s="7" t="str">
        <f>HYPERLINK("mapany/outputs_extras/llff_trex_b_scen_3/reconstruction.glb","mapany/outputs_extras/llff_trex_b_scen_3/reconstruction.glb")</f>
        <v>mapany/outputs_extras/llff_trex_b_scen_3/reconstruction.glb</v>
      </c>
      <c r="J162" s="6" t="s">
        <v>199</v>
      </c>
      <c r="K162" s="3" t="s">
        <v>32</v>
      </c>
      <c r="L162" s="3">
        <v>3</v>
      </c>
      <c r="M162" s="3">
        <v>2</v>
      </c>
      <c r="N162" s="3">
        <v>1</v>
      </c>
      <c r="O162" s="3">
        <v>2</v>
      </c>
      <c r="P162" s="4">
        <f t="shared" si="8"/>
        <v>8</v>
      </c>
      <c r="Q162" s="3" t="s">
        <v>27</v>
      </c>
      <c r="R162" s="6" t="str">
        <f t="shared" si="9"/>
        <v>OK</v>
      </c>
      <c r="S162" s="6" t="s">
        <v>200</v>
      </c>
    </row>
    <row r="163" spans="1:19" ht="33.950000000000003" customHeight="1" x14ac:dyDescent="0.25">
      <c r="A163" s="10">
        <v>162</v>
      </c>
      <c r="B163" s="2" t="s">
        <v>201</v>
      </c>
      <c r="C163" s="2" t="s">
        <v>20</v>
      </c>
      <c r="D163" s="2" t="s">
        <v>186</v>
      </c>
      <c r="E163" s="2" t="s">
        <v>92</v>
      </c>
      <c r="F163" s="10" t="s">
        <v>35</v>
      </c>
      <c r="G163" s="10">
        <v>4</v>
      </c>
      <c r="H163" s="2" t="s">
        <v>39</v>
      </c>
      <c r="I163" s="7" t="str">
        <f>HYPERLINK("mapany/outputs_extras/llff_trex_c_scen_3/reconstruction.glb","mapany/outputs_extras/llff_trex_c_scen_3/reconstruction.glb")</f>
        <v>mapany/outputs_extras/llff_trex_c_scen_3/reconstruction.glb</v>
      </c>
      <c r="J163" s="6" t="s">
        <v>202</v>
      </c>
      <c r="K163" s="3" t="s">
        <v>32</v>
      </c>
      <c r="L163" s="3">
        <v>3</v>
      </c>
      <c r="M163" s="3">
        <v>2</v>
      </c>
      <c r="N163" s="3">
        <v>1</v>
      </c>
      <c r="O163" s="3">
        <v>2</v>
      </c>
      <c r="P163" s="4">
        <f t="shared" si="8"/>
        <v>8</v>
      </c>
      <c r="Q163" s="3" t="s">
        <v>27</v>
      </c>
      <c r="R163" s="6" t="str">
        <f t="shared" si="9"/>
        <v>OK</v>
      </c>
      <c r="S163" s="6" t="s">
        <v>203</v>
      </c>
    </row>
  </sheetData>
  <autoFilter ref="A1:S163" xr:uid="{00000000-0009-0000-0000-000001000000}"/>
  <conditionalFormatting sqref="K2:K163">
    <cfRule type="cellIs" dxfId="0" priority="3" operator="equal">
      <formula>"Niepowodzenie rekonstrukcji"</formula>
    </cfRule>
  </conditionalFormatting>
  <conditionalFormatting sqref="L2:O163">
    <cfRule type="colorScale" priority="1">
      <colorScale>
        <cfvo type="num" val="0"/>
        <cfvo type="num" val="1.5"/>
        <cfvo type="num" val="3"/>
        <color rgb="FFF8696B"/>
        <color rgb="FFFFEB84"/>
        <color rgb="FF63BE7B"/>
      </colorScale>
    </cfRule>
  </conditionalFormatting>
  <conditionalFormatting sqref="P2:P163">
    <cfRule type="colorScale" priority="2">
      <colorScale>
        <cfvo type="num" val="0"/>
        <cfvo type="num" val="6"/>
        <cfvo type="num" val="12"/>
        <color rgb="FFF8696B"/>
        <color rgb="FFFFEB84"/>
        <color rgb="FF63BE7B"/>
      </colorScale>
    </cfRule>
  </conditionalFormatting>
  <dataValidations xWindow="708" yWindow="554" count="2">
    <dataValidation type="list" showInputMessage="1" showErrorMessage="1" errorTitle="Nieprawidłowy status" error="Wybierz status z listy." promptTitle="Status przypadku" prompt="Dla niepowodzenia ustaw także C, G, A i D na 0." sqref="K2:K163" xr:uid="{00000000-0002-0000-0100-000000000000}">
      <formula1>"Do oceny,Oceniono,Niepowodzenie rekonstrukcji"</formula1>
    </dataValidation>
    <dataValidation type="whole" allowBlank="1" showInputMessage="1" showErrorMessage="1" errorTitle="Nieprawidłowa ocena" error="Dozwolone są tylko liczby całkowite od 0 do 3." promptTitle="Ocena 0–3" prompt="Definicje punktów są w arkuszu Skala." sqref="L2:O163" xr:uid="{00000000-0002-0000-0100-000001000000}">
      <formula1>0</formula1>
      <formula2>3</formula2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zoomScale="90" workbookViewId="0">
      <pane ySplit="2" topLeftCell="A3" activePane="bottomLeft" state="frozen"/>
      <selection pane="bottomLeft" activeCell="A8" sqref="A8:XFD8"/>
    </sheetView>
  </sheetViews>
  <sheetFormatPr defaultRowHeight="15" x14ac:dyDescent="0.25"/>
  <cols>
    <col min="1" max="1" width="31" customWidth="1"/>
    <col min="2" max="5" width="45" customWidth="1"/>
  </cols>
  <sheetData>
    <row r="1" spans="1:5" ht="32.1" customHeight="1" x14ac:dyDescent="0.25">
      <c r="A1" s="15" t="s">
        <v>204</v>
      </c>
      <c r="B1" s="15"/>
      <c r="C1" s="15"/>
      <c r="D1" s="15"/>
      <c r="E1" s="15"/>
    </row>
    <row r="2" spans="1:5" ht="33.950000000000003" customHeight="1" x14ac:dyDescent="0.25">
      <c r="A2" s="1" t="s">
        <v>205</v>
      </c>
      <c r="B2" s="1" t="s">
        <v>206</v>
      </c>
      <c r="C2" s="1" t="s">
        <v>207</v>
      </c>
      <c r="D2" s="1" t="s">
        <v>208</v>
      </c>
      <c r="E2" s="1" t="s">
        <v>209</v>
      </c>
    </row>
    <row r="3" spans="1:5" ht="92.1" customHeight="1" x14ac:dyDescent="0.25">
      <c r="A3" s="5" t="s">
        <v>210</v>
      </c>
      <c r="B3" s="11" t="s">
        <v>211</v>
      </c>
      <c r="C3" s="12" t="s">
        <v>212</v>
      </c>
      <c r="D3" s="13" t="s">
        <v>213</v>
      </c>
      <c r="E3" s="14" t="s">
        <v>214</v>
      </c>
    </row>
    <row r="4" spans="1:5" ht="92.1" customHeight="1" x14ac:dyDescent="0.25">
      <c r="A4" s="5" t="s">
        <v>215</v>
      </c>
      <c r="B4" s="11" t="s">
        <v>216</v>
      </c>
      <c r="C4" s="12" t="s">
        <v>217</v>
      </c>
      <c r="D4" s="13" t="s">
        <v>218</v>
      </c>
      <c r="E4" s="14" t="s">
        <v>219</v>
      </c>
    </row>
    <row r="5" spans="1:5" ht="92.1" customHeight="1" x14ac:dyDescent="0.25">
      <c r="A5" s="5" t="s">
        <v>220</v>
      </c>
      <c r="B5" s="11" t="s">
        <v>221</v>
      </c>
      <c r="C5" s="12" t="s">
        <v>222</v>
      </c>
      <c r="D5" s="13" t="s">
        <v>223</v>
      </c>
      <c r="E5" s="14" t="s">
        <v>224</v>
      </c>
    </row>
    <row r="6" spans="1:5" ht="92.1" customHeight="1" x14ac:dyDescent="0.25">
      <c r="A6" s="5" t="s">
        <v>14</v>
      </c>
      <c r="B6" s="11" t="s">
        <v>225</v>
      </c>
      <c r="C6" s="12" t="s">
        <v>226</v>
      </c>
      <c r="D6" s="13" t="s">
        <v>227</v>
      </c>
      <c r="E6" s="14" t="s">
        <v>228</v>
      </c>
    </row>
    <row r="7" spans="1:5" ht="33.950000000000003" customHeight="1" x14ac:dyDescent="0.25">
      <c r="A7" s="16" t="s">
        <v>229</v>
      </c>
      <c r="B7" s="16"/>
      <c r="C7" s="16"/>
      <c r="D7" s="16"/>
      <c r="E7" s="16"/>
    </row>
    <row r="8" spans="1:5" ht="33.950000000000003" customHeight="1" x14ac:dyDescent="0.25">
      <c r="A8" s="16"/>
      <c r="B8" s="16"/>
      <c r="C8" s="16"/>
      <c r="D8" s="16"/>
      <c r="E8" s="16"/>
    </row>
    <row r="9" spans="1:5" ht="33.950000000000003" customHeight="1" x14ac:dyDescent="0.25">
      <c r="A9" s="16"/>
      <c r="B9" s="16"/>
      <c r="C9" s="16"/>
      <c r="D9" s="16"/>
      <c r="E9" s="16"/>
    </row>
    <row r="10" spans="1:5" ht="48" customHeight="1" x14ac:dyDescent="0.25">
      <c r="A10" s="16"/>
      <c r="B10" s="16"/>
      <c r="C10" s="16"/>
      <c r="D10" s="16"/>
      <c r="E10" s="16"/>
    </row>
  </sheetData>
  <mergeCells count="5">
    <mergeCell ref="A1:E1"/>
    <mergeCell ref="A7:E7"/>
    <mergeCell ref="A8:E8"/>
    <mergeCell ref="A9:E9"/>
    <mergeCell ref="A10:E10"/>
  </mergeCells>
  <pageMargins left="0.4" right="0.4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showGridLines="0" tabSelected="1" zoomScale="90" workbookViewId="0">
      <pane ySplit="2" topLeftCell="A4" activePane="bottomLeft" state="frozen"/>
      <selection pane="bottomLeft" activeCell="A22" sqref="A22:U22"/>
    </sheetView>
  </sheetViews>
  <sheetFormatPr defaultRowHeight="15" x14ac:dyDescent="0.25"/>
  <cols>
    <col min="1" max="1" width="16" customWidth="1"/>
    <col min="2" max="2" width="12" customWidth="1"/>
    <col min="3" max="3" width="10" customWidth="1"/>
    <col min="4" max="5" width="16" customWidth="1"/>
    <col min="6" max="6" width="18" customWidth="1"/>
    <col min="7" max="7" width="11" customWidth="1"/>
    <col min="8" max="19" width="12" customWidth="1"/>
    <col min="20" max="21" width="18" customWidth="1"/>
  </cols>
  <sheetData>
    <row r="1" spans="1:21" ht="32.1" customHeight="1" x14ac:dyDescent="0.25">
      <c r="A1" s="15" t="s">
        <v>230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44.1" customHeight="1" x14ac:dyDescent="0.25">
      <c r="A2" s="1" t="s">
        <v>7</v>
      </c>
      <c r="B2" s="1" t="s">
        <v>231</v>
      </c>
      <c r="C2" s="1" t="s">
        <v>5</v>
      </c>
      <c r="D2" s="1" t="s">
        <v>232</v>
      </c>
      <c r="E2" s="1" t="s">
        <v>233</v>
      </c>
      <c r="F2" s="1" t="s">
        <v>234</v>
      </c>
      <c r="G2" s="1" t="s">
        <v>235</v>
      </c>
      <c r="H2" s="1" t="s">
        <v>236</v>
      </c>
      <c r="I2" s="1" t="s">
        <v>237</v>
      </c>
      <c r="J2" s="1" t="s">
        <v>238</v>
      </c>
      <c r="K2" s="1" t="s">
        <v>239</v>
      </c>
      <c r="L2" s="1" t="s">
        <v>240</v>
      </c>
      <c r="M2" s="1" t="s">
        <v>241</v>
      </c>
      <c r="N2" s="1" t="s">
        <v>242</v>
      </c>
      <c r="O2" s="1" t="s">
        <v>243</v>
      </c>
      <c r="P2" s="1" t="s">
        <v>244</v>
      </c>
      <c r="Q2" s="1" t="s">
        <v>245</v>
      </c>
      <c r="R2" s="1" t="s">
        <v>246</v>
      </c>
      <c r="S2" s="1" t="s">
        <v>247</v>
      </c>
      <c r="T2" s="1" t="s">
        <v>248</v>
      </c>
      <c r="U2" s="1" t="s">
        <v>249</v>
      </c>
    </row>
    <row r="3" spans="1:21" ht="27.95" customHeight="1" x14ac:dyDescent="0.25">
      <c r="A3" s="2" t="s">
        <v>24</v>
      </c>
      <c r="B3" s="10">
        <v>2</v>
      </c>
      <c r="C3" s="10" t="s">
        <v>23</v>
      </c>
      <c r="D3" s="10">
        <v>2</v>
      </c>
      <c r="E3" s="10">
        <v>9</v>
      </c>
      <c r="F3" s="10">
        <f>COUNT(Ocena!$P$2,Ocena!$P$20,Ocena!$P$38,Ocena!$P$56,Ocena!$P$74,Ocena!$P$92,Ocena!$P$110,Ocena!$P$128,Ocena!$P$146)</f>
        <v>9</v>
      </c>
      <c r="G3" s="8">
        <f t="shared" ref="G3:G20" si="0">IFERROR(F3/E3,0)</f>
        <v>1</v>
      </c>
      <c r="H3" s="9">
        <f>IF(F3=0,"",MEDIAN(Ocena!$P$2,Ocena!$P$20,Ocena!$P$38,Ocena!$P$56,Ocena!$P$74,Ocena!$P$92,Ocena!$P$110,Ocena!$P$128,Ocena!$P$146))</f>
        <v>6</v>
      </c>
      <c r="I3" s="9">
        <f>IF(F3=0,"",AVERAGE(Ocena!$P$2,Ocena!$P$20,Ocena!$P$38,Ocena!$P$56,Ocena!$P$74,Ocena!$P$92,Ocena!$P$110,Ocena!$P$128,Ocena!$P$146))</f>
        <v>5.8888888888888893</v>
      </c>
      <c r="J3" s="9">
        <f>IF(F3=0,"",MEDIAN(Ocena!$L$2,Ocena!$L$20,Ocena!$L$38,Ocena!$L$56,Ocena!$L$74,Ocena!$L$92,Ocena!$L$110,Ocena!$L$128,Ocena!$L$146))</f>
        <v>1</v>
      </c>
      <c r="K3" s="9">
        <f>IF(F3=0,"",AVERAGE(Ocena!$L$2,Ocena!$L$20,Ocena!$L$38,Ocena!$L$56,Ocena!$L$74,Ocena!$L$92,Ocena!$L$110,Ocena!$L$128,Ocena!$L$146))</f>
        <v>1.2222222222222223</v>
      </c>
      <c r="L3" s="9">
        <f>IF(F3=0,"",MEDIAN(Ocena!$M$2,Ocena!$M$20,Ocena!$M$38,Ocena!$M$56,Ocena!$M$74,Ocena!$M$92,Ocena!$M$110,Ocena!$M$128,Ocena!$M$146))</f>
        <v>2</v>
      </c>
      <c r="M3" s="9">
        <f>IF(F3=0,"",AVERAGE(Ocena!$M$2,Ocena!$M$20,Ocena!$M$38,Ocena!$M$56,Ocena!$M$74,Ocena!$M$92,Ocena!$M$110,Ocena!$M$128,Ocena!$M$146))</f>
        <v>1.6666666666666667</v>
      </c>
      <c r="N3" s="9">
        <f>IF(F3=0,"",MEDIAN(Ocena!$N$2,Ocena!$N$20,Ocena!$N$38,Ocena!$N$56,Ocena!$N$74,Ocena!$N$92,Ocena!$N$110,Ocena!$N$128,Ocena!$N$146))</f>
        <v>1</v>
      </c>
      <c r="O3" s="9">
        <f>IF(F3=0,"",AVERAGE(Ocena!$N$2,Ocena!$N$20,Ocena!$N$38,Ocena!$N$56,Ocena!$N$74,Ocena!$N$92,Ocena!$N$110,Ocena!$N$128,Ocena!$N$146))</f>
        <v>1.5555555555555556</v>
      </c>
      <c r="P3" s="9">
        <f>IF(F3=0,"",MEDIAN(Ocena!$O$2,Ocena!$O$20,Ocena!$O$38,Ocena!$O$56,Ocena!$O$74,Ocena!$O$92,Ocena!$O$110,Ocena!$O$128,Ocena!$O$146))</f>
        <v>1</v>
      </c>
      <c r="Q3" s="9">
        <f>IF(F3=0,"",AVERAGE(Ocena!$O$2,Ocena!$O$20,Ocena!$O$38,Ocena!$O$56,Ocena!$O$74,Ocena!$O$92,Ocena!$O$110,Ocena!$O$128,Ocena!$O$146))</f>
        <v>1.4444444444444444</v>
      </c>
      <c r="R3" s="9">
        <f>IF(F3=0,"",MIN(Ocena!$P$2,Ocena!$P$20,Ocena!$P$38,Ocena!$P$56,Ocena!$P$74,Ocena!$P$92,Ocena!$P$110,Ocena!$P$128,Ocena!$P$146))</f>
        <v>5</v>
      </c>
      <c r="S3" s="9">
        <f>IF(F3=0,"",MAX(Ocena!$P$2,Ocena!$P$20,Ocena!$P$38,Ocena!$P$56,Ocena!$P$74,Ocena!$P$92,Ocena!$P$110,Ocena!$P$128,Ocena!$P$146))</f>
        <v>7</v>
      </c>
      <c r="T3" s="10">
        <f>IF(AND(COUNT(Ocena!$L$2:$O$2)=4,COUNTIF(Ocena!$L$2:$O$2,0)=4),1,0)+IF(AND(COUNT(Ocena!$L$20:$O$20)=4,COUNTIF(Ocena!$L$20:$O$20,0)=4),1,0)+IF(AND(COUNT(Ocena!$L$38:$O$38)=4,COUNTIF(Ocena!$L$38:$O$38,0)=4),1,0)+IF(AND(COUNT(Ocena!$L$56:$O$56)=4,COUNTIF(Ocena!$L$56:$O$56,0)=4),1,0)+IF(AND(COUNT(Ocena!$L$74:$O$74)=4,COUNTIF(Ocena!$L$74:$O$74,0)=4),1,0)+IF(AND(COUNT(Ocena!$L$92:$O$92)=4,COUNTIF(Ocena!$L$92:$O$92,0)=4),1,0)+IF(AND(COUNT(Ocena!$L$110:$O$110)=4,COUNTIF(Ocena!$L$110:$O$110,0)=4),1,0)+IF(AND(COUNT(Ocena!$L$128:$O$128)=4,COUNTIF(Ocena!$L$128:$O$128,0)=4),1,0)+IF(AND(COUNT(Ocena!$L$146:$O$146)=4,COUNTIF(Ocena!$L$146:$O$146,0)=4),1,0)</f>
        <v>0</v>
      </c>
      <c r="U3" s="8">
        <f t="shared" ref="U3:U20" si="1">IFERROR(T3/E3,0)</f>
        <v>0</v>
      </c>
    </row>
    <row r="4" spans="1:21" ht="27.95" customHeight="1" x14ac:dyDescent="0.25">
      <c r="A4" s="2" t="s">
        <v>24</v>
      </c>
      <c r="B4" s="10">
        <v>2</v>
      </c>
      <c r="C4" s="10" t="s">
        <v>30</v>
      </c>
      <c r="D4" s="10">
        <v>2</v>
      </c>
      <c r="E4" s="10">
        <v>9</v>
      </c>
      <c r="F4" s="10">
        <f>COUNT(Ocena!$P$3,Ocena!$P$21,Ocena!$P$39,Ocena!$P$57,Ocena!$P$75,Ocena!$P$93,Ocena!$P$111,Ocena!$P$129,Ocena!$P$147)</f>
        <v>9</v>
      </c>
      <c r="G4" s="8">
        <f t="shared" si="0"/>
        <v>1</v>
      </c>
      <c r="H4" s="9">
        <f>IF(F4=0,"",MEDIAN(Ocena!$P$3,Ocena!$P$21,Ocena!$P$39,Ocena!$P$57,Ocena!$P$75,Ocena!$P$93,Ocena!$P$111,Ocena!$P$129,Ocena!$P$147))</f>
        <v>6</v>
      </c>
      <c r="I4" s="9">
        <f>IF(F4=0,"",AVERAGE(Ocena!$P$3,Ocena!$P$21,Ocena!$P$39,Ocena!$P$57,Ocena!$P$75,Ocena!$P$93,Ocena!$P$111,Ocena!$P$129,Ocena!$P$147))</f>
        <v>6</v>
      </c>
      <c r="J4" s="9">
        <f>IF(F4=0,"",MEDIAN(Ocena!$L$3,Ocena!$L$21,Ocena!$L$39,Ocena!$L$57,Ocena!$L$75,Ocena!$L$93,Ocena!$L$111,Ocena!$L$129,Ocena!$L$147))</f>
        <v>1</v>
      </c>
      <c r="K4" s="9">
        <f>IF(F4=0,"",AVERAGE(Ocena!$L$3,Ocena!$L$21,Ocena!$L$39,Ocena!$L$57,Ocena!$L$75,Ocena!$L$93,Ocena!$L$111,Ocena!$L$129,Ocena!$L$147))</f>
        <v>1.3333333333333333</v>
      </c>
      <c r="L4" s="9">
        <f>IF(F4=0,"",MEDIAN(Ocena!$M$3,Ocena!$M$21,Ocena!$M$39,Ocena!$M$57,Ocena!$M$75,Ocena!$M$93,Ocena!$M$111,Ocena!$M$129,Ocena!$M$147))</f>
        <v>2</v>
      </c>
      <c r="M4" s="9">
        <f>IF(F4=0,"",AVERAGE(Ocena!$M$3,Ocena!$M$21,Ocena!$M$39,Ocena!$M$57,Ocena!$M$75,Ocena!$M$93,Ocena!$M$111,Ocena!$M$129,Ocena!$M$147))</f>
        <v>1.5555555555555556</v>
      </c>
      <c r="N4" s="9">
        <f>IF(F4=0,"",MEDIAN(Ocena!$N$3,Ocena!$N$21,Ocena!$N$39,Ocena!$N$57,Ocena!$N$75,Ocena!$N$93,Ocena!$N$111,Ocena!$N$129,Ocena!$N$147))</f>
        <v>1</v>
      </c>
      <c r="O4" s="9">
        <f>IF(F4=0,"",AVERAGE(Ocena!$N$3,Ocena!$N$21,Ocena!$N$39,Ocena!$N$57,Ocena!$N$75,Ocena!$N$93,Ocena!$N$111,Ocena!$N$129,Ocena!$N$147))</f>
        <v>1.5555555555555556</v>
      </c>
      <c r="P4" s="9">
        <f>IF(F4=0,"",MEDIAN(Ocena!$O$3,Ocena!$O$21,Ocena!$O$39,Ocena!$O$57,Ocena!$O$75,Ocena!$O$93,Ocena!$O$111,Ocena!$O$129,Ocena!$O$147))</f>
        <v>2</v>
      </c>
      <c r="Q4" s="9">
        <f>IF(F4=0,"",AVERAGE(Ocena!$O$3,Ocena!$O$21,Ocena!$O$39,Ocena!$O$57,Ocena!$O$75,Ocena!$O$93,Ocena!$O$111,Ocena!$O$129,Ocena!$O$147))</f>
        <v>1.5555555555555556</v>
      </c>
      <c r="R4" s="9">
        <f>IF(F4=0,"",MIN(Ocena!$P$3,Ocena!$P$21,Ocena!$P$39,Ocena!$P$57,Ocena!$P$75,Ocena!$P$93,Ocena!$P$111,Ocena!$P$129,Ocena!$P$147))</f>
        <v>5</v>
      </c>
      <c r="S4" s="9">
        <f>IF(F4=0,"",MAX(Ocena!$P$3,Ocena!$P$21,Ocena!$P$39,Ocena!$P$57,Ocena!$P$75,Ocena!$P$93,Ocena!$P$111,Ocena!$P$129,Ocena!$P$147))</f>
        <v>7</v>
      </c>
      <c r="T4" s="10">
        <f>IF(AND(COUNT(Ocena!$L$3:$O$3)=4,COUNTIF(Ocena!$L$3:$O$3,0)=4),1,0)+IF(AND(COUNT(Ocena!$L$21:$O$21)=4,COUNTIF(Ocena!$L$21:$O$21,0)=4),1,0)+IF(AND(COUNT(Ocena!$L$39:$O$39)=4,COUNTIF(Ocena!$L$39:$O$39,0)=4),1,0)+IF(AND(COUNT(Ocena!$L$57:$O$57)=4,COUNTIF(Ocena!$L$57:$O$57,0)=4),1,0)+IF(AND(COUNT(Ocena!$L$75:$O$75)=4,COUNTIF(Ocena!$L$75:$O$75,0)=4),1,0)+IF(AND(COUNT(Ocena!$L$93:$O$93)=4,COUNTIF(Ocena!$L$93:$O$93,0)=4),1,0)+IF(AND(COUNT(Ocena!$L$111:$O$111)=4,COUNTIF(Ocena!$L$111:$O$111,0)=4),1,0)+IF(AND(COUNT(Ocena!$L$129:$O$129)=4,COUNTIF(Ocena!$L$129:$O$129,0)=4),1,0)+IF(AND(COUNT(Ocena!$L$147:$O$147)=4,COUNTIF(Ocena!$L$147:$O$147,0)=4),1,0)</f>
        <v>0</v>
      </c>
      <c r="U4" s="8">
        <f t="shared" si="1"/>
        <v>0</v>
      </c>
    </row>
    <row r="5" spans="1:21" ht="27.95" customHeight="1" x14ac:dyDescent="0.25">
      <c r="A5" s="2" t="s">
        <v>24</v>
      </c>
      <c r="B5" s="10">
        <v>2</v>
      </c>
      <c r="C5" s="10" t="s">
        <v>35</v>
      </c>
      <c r="D5" s="10">
        <v>2</v>
      </c>
      <c r="E5" s="10">
        <v>9</v>
      </c>
      <c r="F5" s="10">
        <f>COUNT(Ocena!$P$4,Ocena!$P$22,Ocena!$P$40,Ocena!$P$58,Ocena!$P$76,Ocena!$P$94,Ocena!$P$112,Ocena!$P$130,Ocena!$P$148)</f>
        <v>9</v>
      </c>
      <c r="G5" s="8">
        <f t="shared" si="0"/>
        <v>1</v>
      </c>
      <c r="H5" s="9">
        <f>IF(F5=0,"",MEDIAN(Ocena!$P$4,Ocena!$P$22,Ocena!$P$40,Ocena!$P$58,Ocena!$P$76,Ocena!$P$94,Ocena!$P$112,Ocena!$P$130,Ocena!$P$148))</f>
        <v>6</v>
      </c>
      <c r="I5" s="9">
        <f>IF(F5=0,"",AVERAGE(Ocena!$P$4,Ocena!$P$22,Ocena!$P$40,Ocena!$P$58,Ocena!$P$76,Ocena!$P$94,Ocena!$P$112,Ocena!$P$130,Ocena!$P$148))</f>
        <v>6</v>
      </c>
      <c r="J5" s="9">
        <f>IF(F5=0,"",MEDIAN(Ocena!$L$4,Ocena!$L$22,Ocena!$L$40,Ocena!$L$58,Ocena!$L$76,Ocena!$L$94,Ocena!$L$112,Ocena!$L$130,Ocena!$L$148))</f>
        <v>1</v>
      </c>
      <c r="K5" s="9">
        <f>IF(F5=0,"",AVERAGE(Ocena!$L$4,Ocena!$L$22,Ocena!$L$40,Ocena!$L$58,Ocena!$L$76,Ocena!$L$94,Ocena!$L$112,Ocena!$L$130,Ocena!$L$148))</f>
        <v>1.1111111111111112</v>
      </c>
      <c r="L5" s="9">
        <f>IF(F5=0,"",MEDIAN(Ocena!$M$4,Ocena!$M$22,Ocena!$M$40,Ocena!$M$58,Ocena!$M$76,Ocena!$M$94,Ocena!$M$112,Ocena!$M$130,Ocena!$M$148))</f>
        <v>2</v>
      </c>
      <c r="M5" s="9">
        <f>IF(F5=0,"",AVERAGE(Ocena!$M$4,Ocena!$M$22,Ocena!$M$40,Ocena!$M$58,Ocena!$M$76,Ocena!$M$94,Ocena!$M$112,Ocena!$M$130,Ocena!$M$148))</f>
        <v>1.6666666666666667</v>
      </c>
      <c r="N5" s="9">
        <f>IF(F5=0,"",MEDIAN(Ocena!$N$4,Ocena!$N$22,Ocena!$N$40,Ocena!$N$58,Ocena!$N$76,Ocena!$N$94,Ocena!$N$112,Ocena!$N$130,Ocena!$N$148))</f>
        <v>2</v>
      </c>
      <c r="O5" s="9">
        <f>IF(F5=0,"",AVERAGE(Ocena!$N$4,Ocena!$N$22,Ocena!$N$40,Ocena!$N$58,Ocena!$N$76,Ocena!$N$94,Ocena!$N$112,Ocena!$N$130,Ocena!$N$148))</f>
        <v>1.7777777777777777</v>
      </c>
      <c r="P5" s="9">
        <f>IF(F5=0,"",MEDIAN(Ocena!$O$4,Ocena!$O$22,Ocena!$O$40,Ocena!$O$58,Ocena!$O$76,Ocena!$O$94,Ocena!$O$112,Ocena!$O$130,Ocena!$O$148))</f>
        <v>1</v>
      </c>
      <c r="Q5" s="9">
        <f>IF(F5=0,"",AVERAGE(Ocena!$O$4,Ocena!$O$22,Ocena!$O$40,Ocena!$O$58,Ocena!$O$76,Ocena!$O$94,Ocena!$O$112,Ocena!$O$130,Ocena!$O$148))</f>
        <v>1.4444444444444444</v>
      </c>
      <c r="R5" s="9">
        <f>IF(F5=0,"",MIN(Ocena!$P$4,Ocena!$P$22,Ocena!$P$40,Ocena!$P$58,Ocena!$P$76,Ocena!$P$94,Ocena!$P$112,Ocena!$P$130,Ocena!$P$148))</f>
        <v>5</v>
      </c>
      <c r="S5" s="9">
        <f>IF(F5=0,"",MAX(Ocena!$P$4,Ocena!$P$22,Ocena!$P$40,Ocena!$P$58,Ocena!$P$76,Ocena!$P$94,Ocena!$P$112,Ocena!$P$130,Ocena!$P$148))</f>
        <v>7</v>
      </c>
      <c r="T5" s="10">
        <f>IF(AND(COUNT(Ocena!$L$4:$O$4)=4,COUNTIF(Ocena!$L$4:$O$4,0)=4),1,0)+IF(AND(COUNT(Ocena!$L$22:$O$22)=4,COUNTIF(Ocena!$L$22:$O$22,0)=4),1,0)+IF(AND(COUNT(Ocena!$L$40:$O$40)=4,COUNTIF(Ocena!$L$40:$O$40,0)=4),1,0)+IF(AND(COUNT(Ocena!$L$58:$O$58)=4,COUNTIF(Ocena!$L$58:$O$58,0)=4),1,0)+IF(AND(COUNT(Ocena!$L$76:$O$76)=4,COUNTIF(Ocena!$L$76:$O$76,0)=4),1,0)+IF(AND(COUNT(Ocena!$L$94:$O$94)=4,COUNTIF(Ocena!$L$94:$O$94,0)=4),1,0)+IF(AND(COUNT(Ocena!$L$112:$O$112)=4,COUNTIF(Ocena!$L$112:$O$112,0)=4),1,0)+IF(AND(COUNT(Ocena!$L$130:$O$130)=4,COUNTIF(Ocena!$L$130:$O$130,0)=4),1,0)+IF(AND(COUNT(Ocena!$L$148:$O$148)=4,COUNTIF(Ocena!$L$148:$O$148,0)=4),1,0)</f>
        <v>0</v>
      </c>
      <c r="U5" s="8">
        <f t="shared" si="1"/>
        <v>0</v>
      </c>
    </row>
    <row r="6" spans="1:21" ht="27.95" customHeight="1" x14ac:dyDescent="0.25">
      <c r="A6" s="2" t="s">
        <v>24</v>
      </c>
      <c r="B6" s="10">
        <v>4</v>
      </c>
      <c r="C6" s="10" t="s">
        <v>23</v>
      </c>
      <c r="D6" s="10">
        <v>4</v>
      </c>
      <c r="E6" s="10">
        <v>9</v>
      </c>
      <c r="F6" s="10">
        <f>COUNT(Ocena!$P$11,Ocena!$P$29,Ocena!$P$47,Ocena!$P$65,Ocena!$P$83,Ocena!$P$101,Ocena!$P$119,Ocena!$P$137,Ocena!$P$155)</f>
        <v>9</v>
      </c>
      <c r="G6" s="8">
        <f t="shared" si="0"/>
        <v>1</v>
      </c>
      <c r="H6" s="9">
        <f>IF(F6=0,"",MEDIAN(Ocena!$P$11,Ocena!$P$29,Ocena!$P$47,Ocena!$P$65,Ocena!$P$83,Ocena!$P$101,Ocena!$P$119,Ocena!$P$137,Ocena!$P$155))</f>
        <v>7</v>
      </c>
      <c r="I6" s="9">
        <f>IF(F6=0,"",AVERAGE(Ocena!$P$11,Ocena!$P$29,Ocena!$P$47,Ocena!$P$65,Ocena!$P$83,Ocena!$P$101,Ocena!$P$119,Ocena!$P$137,Ocena!$P$155))</f>
        <v>6.5555555555555554</v>
      </c>
      <c r="J6" s="9">
        <f>IF(F6=0,"",MEDIAN(Ocena!$L$11,Ocena!$L$29,Ocena!$L$47,Ocena!$L$65,Ocena!$L$83,Ocena!$L$101,Ocena!$L$119,Ocena!$L$137,Ocena!$L$155))</f>
        <v>1</v>
      </c>
      <c r="K6" s="9">
        <f>IF(F6=0,"",AVERAGE(Ocena!$L$11,Ocena!$L$29,Ocena!$L$47,Ocena!$L$65,Ocena!$L$83,Ocena!$L$101,Ocena!$L$119,Ocena!$L$137,Ocena!$L$155))</f>
        <v>1.3333333333333333</v>
      </c>
      <c r="L6" s="9">
        <f>IF(F6=0,"",MEDIAN(Ocena!$M$11,Ocena!$M$29,Ocena!$M$47,Ocena!$M$65,Ocena!$M$83,Ocena!$M$101,Ocena!$M$119,Ocena!$M$137,Ocena!$M$155))</f>
        <v>2</v>
      </c>
      <c r="M6" s="9">
        <f>IF(F6=0,"",AVERAGE(Ocena!$M$11,Ocena!$M$29,Ocena!$M$47,Ocena!$M$65,Ocena!$M$83,Ocena!$M$101,Ocena!$M$119,Ocena!$M$137,Ocena!$M$155))</f>
        <v>1.8888888888888888</v>
      </c>
      <c r="N6" s="9">
        <f>IF(F6=0,"",MEDIAN(Ocena!$N$11,Ocena!$N$29,Ocena!$N$47,Ocena!$N$65,Ocena!$N$83,Ocena!$N$101,Ocena!$N$119,Ocena!$N$137,Ocena!$N$155))</f>
        <v>2</v>
      </c>
      <c r="O6" s="9">
        <f>IF(F6=0,"",AVERAGE(Ocena!$N$11,Ocena!$N$29,Ocena!$N$47,Ocena!$N$65,Ocena!$N$83,Ocena!$N$101,Ocena!$N$119,Ocena!$N$137,Ocena!$N$155))</f>
        <v>1.8888888888888888</v>
      </c>
      <c r="P6" s="9">
        <f>IF(F6=0,"",MEDIAN(Ocena!$O$11,Ocena!$O$29,Ocena!$O$47,Ocena!$O$65,Ocena!$O$83,Ocena!$O$101,Ocena!$O$119,Ocena!$O$137,Ocena!$O$155))</f>
        <v>1</v>
      </c>
      <c r="Q6" s="9">
        <f>IF(F6=0,"",AVERAGE(Ocena!$O$11,Ocena!$O$29,Ocena!$O$47,Ocena!$O$65,Ocena!$O$83,Ocena!$O$101,Ocena!$O$119,Ocena!$O$137,Ocena!$O$155))</f>
        <v>1.4444444444444444</v>
      </c>
      <c r="R6" s="9">
        <f>IF(F6=0,"",MIN(Ocena!$P$11,Ocena!$P$29,Ocena!$P$47,Ocena!$P$65,Ocena!$P$83,Ocena!$P$101,Ocena!$P$119,Ocena!$P$137,Ocena!$P$155))</f>
        <v>5</v>
      </c>
      <c r="S6" s="9">
        <f>IF(F6=0,"",MAX(Ocena!$P$11,Ocena!$P$29,Ocena!$P$47,Ocena!$P$65,Ocena!$P$83,Ocena!$P$101,Ocena!$P$119,Ocena!$P$137,Ocena!$P$155))</f>
        <v>8</v>
      </c>
      <c r="T6" s="10">
        <f>IF(AND(COUNT(Ocena!$L$11:$O$11)=4,COUNTIF(Ocena!$L$11:$O$11,0)=4),1,0)+IF(AND(COUNT(Ocena!$L$29:$O$29)=4,COUNTIF(Ocena!$L$29:$O$29,0)=4),1,0)+IF(AND(COUNT(Ocena!$L$47:$O$47)=4,COUNTIF(Ocena!$L$47:$O$47,0)=4),1,0)+IF(AND(COUNT(Ocena!$L$65:$O$65)=4,COUNTIF(Ocena!$L$65:$O$65,0)=4),1,0)+IF(AND(COUNT(Ocena!$L$83:$O$83)=4,COUNTIF(Ocena!$L$83:$O$83,0)=4),1,0)+IF(AND(COUNT(Ocena!$L$101:$O$101)=4,COUNTIF(Ocena!$L$101:$O$101,0)=4),1,0)+IF(AND(COUNT(Ocena!$L$119:$O$119)=4,COUNTIF(Ocena!$L$119:$O$119,0)=4),1,0)+IF(AND(COUNT(Ocena!$L$137:$O$137)=4,COUNTIF(Ocena!$L$137:$O$137,0)=4),1,0)+IF(AND(COUNT(Ocena!$L$155:$O$155)=4,COUNTIF(Ocena!$L$155:$O$155,0)=4),1,0)</f>
        <v>0</v>
      </c>
      <c r="U6" s="8">
        <f t="shared" si="1"/>
        <v>0</v>
      </c>
    </row>
    <row r="7" spans="1:21" ht="27.95" customHeight="1" x14ac:dyDescent="0.25">
      <c r="A7" s="2" t="s">
        <v>24</v>
      </c>
      <c r="B7" s="10">
        <v>4</v>
      </c>
      <c r="C7" s="10" t="s">
        <v>30</v>
      </c>
      <c r="D7" s="10">
        <v>4</v>
      </c>
      <c r="E7" s="10">
        <v>9</v>
      </c>
      <c r="F7" s="10">
        <f>COUNT(Ocena!$P$12,Ocena!$P$30,Ocena!$P$48,Ocena!$P$66,Ocena!$P$84,Ocena!$P$102,Ocena!$P$120,Ocena!$P$138,Ocena!$P$156)</f>
        <v>9</v>
      </c>
      <c r="G7" s="8">
        <f t="shared" si="0"/>
        <v>1</v>
      </c>
      <c r="H7" s="9">
        <f>IF(F7=0,"",MEDIAN(Ocena!$P$12,Ocena!$P$30,Ocena!$P$48,Ocena!$P$66,Ocena!$P$84,Ocena!$P$102,Ocena!$P$120,Ocena!$P$138,Ocena!$P$156))</f>
        <v>6</v>
      </c>
      <c r="I7" s="9">
        <f>IF(F7=0,"",AVERAGE(Ocena!$P$12,Ocena!$P$30,Ocena!$P$48,Ocena!$P$66,Ocena!$P$84,Ocena!$P$102,Ocena!$P$120,Ocena!$P$138,Ocena!$P$156))</f>
        <v>6.4444444444444446</v>
      </c>
      <c r="J7" s="9">
        <f>IF(F7=0,"",MEDIAN(Ocena!$L$12,Ocena!$L$30,Ocena!$L$48,Ocena!$L$66,Ocena!$L$84,Ocena!$L$102,Ocena!$L$120,Ocena!$L$138,Ocena!$L$156))</f>
        <v>1</v>
      </c>
      <c r="K7" s="9">
        <f>IF(F7=0,"",AVERAGE(Ocena!$L$12,Ocena!$L$30,Ocena!$L$48,Ocena!$L$66,Ocena!$L$84,Ocena!$L$102,Ocena!$L$120,Ocena!$L$138,Ocena!$L$156))</f>
        <v>1.3333333333333333</v>
      </c>
      <c r="L7" s="9">
        <f>IF(F7=0,"",MEDIAN(Ocena!$M$12,Ocena!$M$30,Ocena!$M$48,Ocena!$M$66,Ocena!$M$84,Ocena!$M$102,Ocena!$M$120,Ocena!$M$138,Ocena!$M$156))</f>
        <v>2</v>
      </c>
      <c r="M7" s="9">
        <f>IF(F7=0,"",AVERAGE(Ocena!$M$12,Ocena!$M$30,Ocena!$M$48,Ocena!$M$66,Ocena!$M$84,Ocena!$M$102,Ocena!$M$120,Ocena!$M$138,Ocena!$M$156))</f>
        <v>1.8888888888888888</v>
      </c>
      <c r="N7" s="9">
        <f>IF(F7=0,"",MEDIAN(Ocena!$N$12,Ocena!$N$30,Ocena!$N$48,Ocena!$N$66,Ocena!$N$84,Ocena!$N$102,Ocena!$N$120,Ocena!$N$138,Ocena!$N$156))</f>
        <v>2</v>
      </c>
      <c r="O7" s="9">
        <f>IF(F7=0,"",AVERAGE(Ocena!$N$12,Ocena!$N$30,Ocena!$N$48,Ocena!$N$66,Ocena!$N$84,Ocena!$N$102,Ocena!$N$120,Ocena!$N$138,Ocena!$N$156))</f>
        <v>1.7777777777777777</v>
      </c>
      <c r="P7" s="9">
        <f>IF(F7=0,"",MEDIAN(Ocena!$O$12,Ocena!$O$30,Ocena!$O$48,Ocena!$O$66,Ocena!$O$84,Ocena!$O$102,Ocena!$O$120,Ocena!$O$138,Ocena!$O$156))</f>
        <v>1</v>
      </c>
      <c r="Q7" s="9">
        <f>IF(F7=0,"",AVERAGE(Ocena!$O$12,Ocena!$O$30,Ocena!$O$48,Ocena!$O$66,Ocena!$O$84,Ocena!$O$102,Ocena!$O$120,Ocena!$O$138,Ocena!$O$156))</f>
        <v>1.4444444444444444</v>
      </c>
      <c r="R7" s="9">
        <f>IF(F7=0,"",MIN(Ocena!$P$12,Ocena!$P$30,Ocena!$P$48,Ocena!$P$66,Ocena!$P$84,Ocena!$P$102,Ocena!$P$120,Ocena!$P$138,Ocena!$P$156))</f>
        <v>5</v>
      </c>
      <c r="S7" s="9">
        <f>IF(F7=0,"",MAX(Ocena!$P$12,Ocena!$P$30,Ocena!$P$48,Ocena!$P$66,Ocena!$P$84,Ocena!$P$102,Ocena!$P$120,Ocena!$P$138,Ocena!$P$156))</f>
        <v>8</v>
      </c>
      <c r="T7" s="10">
        <f>IF(AND(COUNT(Ocena!$L$12:$O$12)=4,COUNTIF(Ocena!$L$12:$O$12,0)=4),1,0)+IF(AND(COUNT(Ocena!$L$30:$O$30)=4,COUNTIF(Ocena!$L$30:$O$30,0)=4),1,0)+IF(AND(COUNT(Ocena!$L$48:$O$48)=4,COUNTIF(Ocena!$L$48:$O$48,0)=4),1,0)+IF(AND(COUNT(Ocena!$L$66:$O$66)=4,COUNTIF(Ocena!$L$66:$O$66,0)=4),1,0)+IF(AND(COUNT(Ocena!$L$84:$O$84)=4,COUNTIF(Ocena!$L$84:$O$84,0)=4),1,0)+IF(AND(COUNT(Ocena!$L$102:$O$102)=4,COUNTIF(Ocena!$L$102:$O$102,0)=4),1,0)+IF(AND(COUNT(Ocena!$L$120:$O$120)=4,COUNTIF(Ocena!$L$120:$O$120,0)=4),1,0)+IF(AND(COUNT(Ocena!$L$138:$O$138)=4,COUNTIF(Ocena!$L$138:$O$138,0)=4),1,0)+IF(AND(COUNT(Ocena!$L$156:$O$156)=4,COUNTIF(Ocena!$L$156:$O$156,0)=4),1,0)</f>
        <v>0</v>
      </c>
      <c r="U7" s="8">
        <f t="shared" si="1"/>
        <v>0</v>
      </c>
    </row>
    <row r="8" spans="1:21" ht="27.95" customHeight="1" x14ac:dyDescent="0.25">
      <c r="A8" s="2" t="s">
        <v>24</v>
      </c>
      <c r="B8" s="10">
        <v>4</v>
      </c>
      <c r="C8" s="10" t="s">
        <v>35</v>
      </c>
      <c r="D8" s="10">
        <v>4</v>
      </c>
      <c r="E8" s="10">
        <v>9</v>
      </c>
      <c r="F8" s="10">
        <f>COUNT(Ocena!$P$13,Ocena!$P$31,Ocena!$P$49,Ocena!$P$67,Ocena!$P$85,Ocena!$P$103,Ocena!$P$121,Ocena!$P$139,Ocena!$P$157)</f>
        <v>9</v>
      </c>
      <c r="G8" s="8">
        <f t="shared" si="0"/>
        <v>1</v>
      </c>
      <c r="H8" s="9">
        <f>IF(F8=0,"",MEDIAN(Ocena!$P$13,Ocena!$P$31,Ocena!$P$49,Ocena!$P$67,Ocena!$P$85,Ocena!$P$103,Ocena!$P$121,Ocena!$P$139,Ocena!$P$157))</f>
        <v>7</v>
      </c>
      <c r="I8" s="9">
        <f>IF(F8=0,"",AVERAGE(Ocena!$P$13,Ocena!$P$31,Ocena!$P$49,Ocena!$P$67,Ocena!$P$85,Ocena!$P$103,Ocena!$P$121,Ocena!$P$139,Ocena!$P$157))</f>
        <v>6.7777777777777777</v>
      </c>
      <c r="J8" s="9">
        <f>IF(F8=0,"",MEDIAN(Ocena!$L$13,Ocena!$L$31,Ocena!$L$49,Ocena!$L$67,Ocena!$L$85,Ocena!$L$103,Ocena!$L$121,Ocena!$L$139,Ocena!$L$157))</f>
        <v>1</v>
      </c>
      <c r="K8" s="9">
        <f>IF(F8=0,"",AVERAGE(Ocena!$L$13,Ocena!$L$31,Ocena!$L$49,Ocena!$L$67,Ocena!$L$85,Ocena!$L$103,Ocena!$L$121,Ocena!$L$139,Ocena!$L$157))</f>
        <v>1.2222222222222223</v>
      </c>
      <c r="L8" s="9">
        <f>IF(F8=0,"",MEDIAN(Ocena!$M$13,Ocena!$M$31,Ocena!$M$49,Ocena!$M$67,Ocena!$M$85,Ocena!$M$103,Ocena!$M$121,Ocena!$M$139,Ocena!$M$157))</f>
        <v>2</v>
      </c>
      <c r="M8" s="9">
        <f>IF(F8=0,"",AVERAGE(Ocena!$M$13,Ocena!$M$31,Ocena!$M$49,Ocena!$M$67,Ocena!$M$85,Ocena!$M$103,Ocena!$M$121,Ocena!$M$139,Ocena!$M$157))</f>
        <v>2.1111111111111112</v>
      </c>
      <c r="N8" s="9">
        <f>IF(F8=0,"",MEDIAN(Ocena!$N$13,Ocena!$N$31,Ocena!$N$49,Ocena!$N$67,Ocena!$N$85,Ocena!$N$103,Ocena!$N$121,Ocena!$N$139,Ocena!$N$157))</f>
        <v>2</v>
      </c>
      <c r="O8" s="9">
        <f>IF(F8=0,"",AVERAGE(Ocena!$N$13,Ocena!$N$31,Ocena!$N$49,Ocena!$N$67,Ocena!$N$85,Ocena!$N$103,Ocena!$N$121,Ocena!$N$139,Ocena!$N$157))</f>
        <v>2</v>
      </c>
      <c r="P8" s="9">
        <f>IF(F8=0,"",MEDIAN(Ocena!$O$13,Ocena!$O$31,Ocena!$O$49,Ocena!$O$67,Ocena!$O$85,Ocena!$O$103,Ocena!$O$121,Ocena!$O$139,Ocena!$O$157))</f>
        <v>1</v>
      </c>
      <c r="Q8" s="9">
        <f>IF(F8=0,"",AVERAGE(Ocena!$O$13,Ocena!$O$31,Ocena!$O$49,Ocena!$O$67,Ocena!$O$85,Ocena!$O$103,Ocena!$O$121,Ocena!$O$139,Ocena!$O$157))</f>
        <v>1.4444444444444444</v>
      </c>
      <c r="R8" s="9">
        <f>IF(F8=0,"",MIN(Ocena!$P$13,Ocena!$P$31,Ocena!$P$49,Ocena!$P$67,Ocena!$P$85,Ocena!$P$103,Ocena!$P$121,Ocena!$P$139,Ocena!$P$157))</f>
        <v>5</v>
      </c>
      <c r="S8" s="9">
        <f>IF(F8=0,"",MAX(Ocena!$P$13,Ocena!$P$31,Ocena!$P$49,Ocena!$P$67,Ocena!$P$85,Ocena!$P$103,Ocena!$P$121,Ocena!$P$139,Ocena!$P$157))</f>
        <v>9</v>
      </c>
      <c r="T8" s="10">
        <f>IF(AND(COUNT(Ocena!$L$13:$O$13)=4,COUNTIF(Ocena!$L$13:$O$13,0)=4),1,0)+IF(AND(COUNT(Ocena!$L$31:$O$31)=4,COUNTIF(Ocena!$L$31:$O$31,0)=4),1,0)+IF(AND(COUNT(Ocena!$L$49:$O$49)=4,COUNTIF(Ocena!$L$49:$O$49,0)=4),1,0)+IF(AND(COUNT(Ocena!$L$67:$O$67)=4,COUNTIF(Ocena!$L$67:$O$67,0)=4),1,0)+IF(AND(COUNT(Ocena!$L$85:$O$85)=4,COUNTIF(Ocena!$L$85:$O$85,0)=4),1,0)+IF(AND(COUNT(Ocena!$L$103:$O$103)=4,COUNTIF(Ocena!$L$103:$O$103,0)=4),1,0)+IF(AND(COUNT(Ocena!$L$121:$O$121)=4,COUNTIF(Ocena!$L$121:$O$121,0)=4),1,0)+IF(AND(COUNT(Ocena!$L$139:$O$139)=4,COUNTIF(Ocena!$L$139:$O$139,0)=4),1,0)+IF(AND(COUNT(Ocena!$L$157:$O$157)=4,COUNTIF(Ocena!$L$157:$O$157,0)=4),1,0)</f>
        <v>0</v>
      </c>
      <c r="U8" s="8">
        <f t="shared" si="1"/>
        <v>0</v>
      </c>
    </row>
    <row r="9" spans="1:21" ht="27.95" customHeight="1" x14ac:dyDescent="0.25">
      <c r="A9" s="2" t="s">
        <v>38</v>
      </c>
      <c r="B9" s="10">
        <v>2</v>
      </c>
      <c r="C9" s="10" t="s">
        <v>23</v>
      </c>
      <c r="D9" s="10">
        <v>2</v>
      </c>
      <c r="E9" s="10">
        <v>9</v>
      </c>
      <c r="F9" s="10">
        <f>COUNT(Ocena!$P$5,Ocena!$P$23,Ocena!$P$41,Ocena!$P$59,Ocena!$P$77,Ocena!$P$95,Ocena!$P$113,Ocena!$P$131,Ocena!$P$149)</f>
        <v>9</v>
      </c>
      <c r="G9" s="8">
        <f t="shared" si="0"/>
        <v>1</v>
      </c>
      <c r="H9" s="9">
        <f>IF(F9=0,"",MEDIAN(Ocena!$P$5,Ocena!$P$23,Ocena!$P$41,Ocena!$P$59,Ocena!$P$77,Ocena!$P$95,Ocena!$P$113,Ocena!$P$131,Ocena!$P$149))</f>
        <v>6</v>
      </c>
      <c r="I9" s="9">
        <f>IF(F9=0,"",AVERAGE(Ocena!$P$5,Ocena!$P$23,Ocena!$P$41,Ocena!$P$59,Ocena!$P$77,Ocena!$P$95,Ocena!$P$113,Ocena!$P$131,Ocena!$P$149))</f>
        <v>6.2222222222222223</v>
      </c>
      <c r="J9" s="9">
        <f>IF(F9=0,"",MEDIAN(Ocena!$L$5,Ocena!$L$23,Ocena!$L$41,Ocena!$L$59,Ocena!$L$77,Ocena!$L$95,Ocena!$L$113,Ocena!$L$131,Ocena!$L$149))</f>
        <v>1</v>
      </c>
      <c r="K9" s="9">
        <f>IF(F9=0,"",AVERAGE(Ocena!$L$5,Ocena!$L$23,Ocena!$L$41,Ocena!$L$59,Ocena!$L$77,Ocena!$L$95,Ocena!$L$113,Ocena!$L$131,Ocena!$L$149))</f>
        <v>1.4444444444444444</v>
      </c>
      <c r="L9" s="9">
        <f>IF(F9=0,"",MEDIAN(Ocena!$M$5,Ocena!$M$23,Ocena!$M$41,Ocena!$M$59,Ocena!$M$77,Ocena!$M$95,Ocena!$M$113,Ocena!$M$131,Ocena!$M$149))</f>
        <v>1</v>
      </c>
      <c r="M9" s="9">
        <f>IF(F9=0,"",AVERAGE(Ocena!$M$5,Ocena!$M$23,Ocena!$M$41,Ocena!$M$59,Ocena!$M$77,Ocena!$M$95,Ocena!$M$113,Ocena!$M$131,Ocena!$M$149))</f>
        <v>1.4444444444444444</v>
      </c>
      <c r="N9" s="9">
        <f>IF(F9=0,"",MEDIAN(Ocena!$N$5,Ocena!$N$23,Ocena!$N$41,Ocena!$N$59,Ocena!$N$77,Ocena!$N$95,Ocena!$N$113,Ocena!$N$131,Ocena!$N$149))</f>
        <v>2</v>
      </c>
      <c r="O9" s="9">
        <f>IF(F9=0,"",AVERAGE(Ocena!$N$5,Ocena!$N$23,Ocena!$N$41,Ocena!$N$59,Ocena!$N$77,Ocena!$N$95,Ocena!$N$113,Ocena!$N$131,Ocena!$N$149))</f>
        <v>1.8888888888888888</v>
      </c>
      <c r="P9" s="9">
        <f>IF(F9=0,"",MEDIAN(Ocena!$O$5,Ocena!$O$23,Ocena!$O$41,Ocena!$O$59,Ocena!$O$77,Ocena!$O$95,Ocena!$O$113,Ocena!$O$131,Ocena!$O$149))</f>
        <v>1</v>
      </c>
      <c r="Q9" s="9">
        <f>IF(F9=0,"",AVERAGE(Ocena!$O$5,Ocena!$O$23,Ocena!$O$41,Ocena!$O$59,Ocena!$O$77,Ocena!$O$95,Ocena!$O$113,Ocena!$O$131,Ocena!$O$149))</f>
        <v>1.4444444444444444</v>
      </c>
      <c r="R9" s="9">
        <f>IF(F9=0,"",MIN(Ocena!$P$5,Ocena!$P$23,Ocena!$P$41,Ocena!$P$59,Ocena!$P$77,Ocena!$P$95,Ocena!$P$113,Ocena!$P$131,Ocena!$P$149))</f>
        <v>5</v>
      </c>
      <c r="S9" s="9">
        <f>IF(F9=0,"",MAX(Ocena!$P$5,Ocena!$P$23,Ocena!$P$41,Ocena!$P$59,Ocena!$P$77,Ocena!$P$95,Ocena!$P$113,Ocena!$P$131,Ocena!$P$149))</f>
        <v>10</v>
      </c>
      <c r="T9" s="10">
        <f>IF(AND(COUNT(Ocena!$L$5:$O$5)=4,COUNTIF(Ocena!$L$5:$O$5,0)=4),1,0)+IF(AND(COUNT(Ocena!$L$23:$O$23)=4,COUNTIF(Ocena!$L$23:$O$23,0)=4),1,0)+IF(AND(COUNT(Ocena!$L$41:$O$41)=4,COUNTIF(Ocena!$L$41:$O$41,0)=4),1,0)+IF(AND(COUNT(Ocena!$L$59:$O$59)=4,COUNTIF(Ocena!$L$59:$O$59,0)=4),1,0)+IF(AND(COUNT(Ocena!$L$77:$O$77)=4,COUNTIF(Ocena!$L$77:$O$77,0)=4),1,0)+IF(AND(COUNT(Ocena!$L$95:$O$95)=4,COUNTIF(Ocena!$L$95:$O$95,0)=4),1,0)+IF(AND(COUNT(Ocena!$L$113:$O$113)=4,COUNTIF(Ocena!$L$113:$O$113,0)=4),1,0)+IF(AND(COUNT(Ocena!$L$131:$O$131)=4,COUNTIF(Ocena!$L$131:$O$131,0)=4),1,0)+IF(AND(COUNT(Ocena!$L$149:$O$149)=4,COUNTIF(Ocena!$L$149:$O$149,0)=4),1,0)</f>
        <v>0</v>
      </c>
      <c r="U9" s="8">
        <f t="shared" si="1"/>
        <v>0</v>
      </c>
    </row>
    <row r="10" spans="1:21" ht="27.95" customHeight="1" x14ac:dyDescent="0.25">
      <c r="A10" s="2" t="s">
        <v>38</v>
      </c>
      <c r="B10" s="10">
        <v>2</v>
      </c>
      <c r="C10" s="10" t="s">
        <v>30</v>
      </c>
      <c r="D10" s="10">
        <v>2</v>
      </c>
      <c r="E10" s="10">
        <v>9</v>
      </c>
      <c r="F10" s="10">
        <f>COUNT(Ocena!$P$6,Ocena!$P$24,Ocena!$P$42,Ocena!$P$60,Ocena!$P$78,Ocena!$P$96,Ocena!$P$114,Ocena!$P$132,Ocena!$P$150)</f>
        <v>9</v>
      </c>
      <c r="G10" s="8">
        <f t="shared" si="0"/>
        <v>1</v>
      </c>
      <c r="H10" s="9">
        <f>IF(F10=0,"",MEDIAN(Ocena!$P$6,Ocena!$P$24,Ocena!$P$42,Ocena!$P$60,Ocena!$P$78,Ocena!$P$96,Ocena!$P$114,Ocena!$P$132,Ocena!$P$150))</f>
        <v>6</v>
      </c>
      <c r="I10" s="9">
        <f>IF(F10=0,"",AVERAGE(Ocena!$P$6,Ocena!$P$24,Ocena!$P$42,Ocena!$P$60,Ocena!$P$78,Ocena!$P$96,Ocena!$P$114,Ocena!$P$132,Ocena!$P$150))</f>
        <v>6.1111111111111107</v>
      </c>
      <c r="J10" s="9">
        <f>IF(F10=0,"",MEDIAN(Ocena!$L$6,Ocena!$L$24,Ocena!$L$42,Ocena!$L$60,Ocena!$L$78,Ocena!$L$96,Ocena!$L$114,Ocena!$L$132,Ocena!$L$150))</f>
        <v>1</v>
      </c>
      <c r="K10" s="9">
        <f>IF(F10=0,"",AVERAGE(Ocena!$L$6,Ocena!$L$24,Ocena!$L$42,Ocena!$L$60,Ocena!$L$78,Ocena!$L$96,Ocena!$L$114,Ocena!$L$132,Ocena!$L$150))</f>
        <v>1.4444444444444444</v>
      </c>
      <c r="L10" s="9">
        <f>IF(F10=0,"",MEDIAN(Ocena!$M$6,Ocena!$M$24,Ocena!$M$42,Ocena!$M$60,Ocena!$M$78,Ocena!$M$96,Ocena!$M$114,Ocena!$M$132,Ocena!$M$150))</f>
        <v>1</v>
      </c>
      <c r="M10" s="9">
        <f>IF(F10=0,"",AVERAGE(Ocena!$M$6,Ocena!$M$24,Ocena!$M$42,Ocena!$M$60,Ocena!$M$78,Ocena!$M$96,Ocena!$M$114,Ocena!$M$132,Ocena!$M$150))</f>
        <v>1.3333333333333333</v>
      </c>
      <c r="N10" s="9">
        <f>IF(F10=0,"",MEDIAN(Ocena!$N$6,Ocena!$N$24,Ocena!$N$42,Ocena!$N$60,Ocena!$N$78,Ocena!$N$96,Ocena!$N$114,Ocena!$N$132,Ocena!$N$150))</f>
        <v>2</v>
      </c>
      <c r="O10" s="9">
        <f>IF(F10=0,"",AVERAGE(Ocena!$N$6,Ocena!$N$24,Ocena!$N$42,Ocena!$N$60,Ocena!$N$78,Ocena!$N$96,Ocena!$N$114,Ocena!$N$132,Ocena!$N$150))</f>
        <v>1.8888888888888888</v>
      </c>
      <c r="P10" s="9">
        <f>IF(F10=0,"",MEDIAN(Ocena!$O$6,Ocena!$O$24,Ocena!$O$42,Ocena!$O$60,Ocena!$O$78,Ocena!$O$96,Ocena!$O$114,Ocena!$O$132,Ocena!$O$150))</f>
        <v>1</v>
      </c>
      <c r="Q10" s="9">
        <f>IF(F10=0,"",AVERAGE(Ocena!$O$6,Ocena!$O$24,Ocena!$O$42,Ocena!$O$60,Ocena!$O$78,Ocena!$O$96,Ocena!$O$114,Ocena!$O$132,Ocena!$O$150))</f>
        <v>1.4444444444444444</v>
      </c>
      <c r="R10" s="9">
        <f>IF(F10=0,"",MIN(Ocena!$P$6,Ocena!$P$24,Ocena!$P$42,Ocena!$P$60,Ocena!$P$78,Ocena!$P$96,Ocena!$P$114,Ocena!$P$132,Ocena!$P$150))</f>
        <v>4</v>
      </c>
      <c r="S10" s="9">
        <f>IF(F10=0,"",MAX(Ocena!$P$6,Ocena!$P$24,Ocena!$P$42,Ocena!$P$60,Ocena!$P$78,Ocena!$P$96,Ocena!$P$114,Ocena!$P$132,Ocena!$P$150))</f>
        <v>10</v>
      </c>
      <c r="T10" s="10">
        <f>IF(AND(COUNT(Ocena!$L$6:$O$6)=4,COUNTIF(Ocena!$L$6:$O$6,0)=4),1,0)+IF(AND(COUNT(Ocena!$L$24:$O$24)=4,COUNTIF(Ocena!$L$24:$O$24,0)=4),1,0)+IF(AND(COUNT(Ocena!$L$42:$O$42)=4,COUNTIF(Ocena!$L$42:$O$42,0)=4),1,0)+IF(AND(COUNT(Ocena!$L$60:$O$60)=4,COUNTIF(Ocena!$L$60:$O$60,0)=4),1,0)+IF(AND(COUNT(Ocena!$L$78:$O$78)=4,COUNTIF(Ocena!$L$78:$O$78,0)=4),1,0)+IF(AND(COUNT(Ocena!$L$96:$O$96)=4,COUNTIF(Ocena!$L$96:$O$96,0)=4),1,0)+IF(AND(COUNT(Ocena!$L$114:$O$114)=4,COUNTIF(Ocena!$L$114:$O$114,0)=4),1,0)+IF(AND(COUNT(Ocena!$L$132:$O$132)=4,COUNTIF(Ocena!$L$132:$O$132,0)=4),1,0)+IF(AND(COUNT(Ocena!$L$150:$O$150)=4,COUNTIF(Ocena!$L$150:$O$150,0)=4),1,0)</f>
        <v>0</v>
      </c>
      <c r="U10" s="8">
        <f t="shared" si="1"/>
        <v>0</v>
      </c>
    </row>
    <row r="11" spans="1:21" ht="27.95" customHeight="1" x14ac:dyDescent="0.25">
      <c r="A11" s="2" t="s">
        <v>38</v>
      </c>
      <c r="B11" s="10">
        <v>2</v>
      </c>
      <c r="C11" s="10" t="s">
        <v>35</v>
      </c>
      <c r="D11" s="10">
        <v>2</v>
      </c>
      <c r="E11" s="10">
        <v>9</v>
      </c>
      <c r="F11" s="10">
        <f>COUNT(Ocena!$P$7,Ocena!$P$25,Ocena!$P$43,Ocena!$P$61,Ocena!$P$79,Ocena!$P$97,Ocena!$P$115,Ocena!$P$133,Ocena!$P$151)</f>
        <v>9</v>
      </c>
      <c r="G11" s="8">
        <f t="shared" si="0"/>
        <v>1</v>
      </c>
      <c r="H11" s="9">
        <f>IF(F11=0,"",MEDIAN(Ocena!$P$7,Ocena!$P$25,Ocena!$P$43,Ocena!$P$61,Ocena!$P$79,Ocena!$P$97,Ocena!$P$115,Ocena!$P$133,Ocena!$P$151))</f>
        <v>6</v>
      </c>
      <c r="I11" s="9">
        <f>IF(F11=0,"",AVERAGE(Ocena!$P$7,Ocena!$P$25,Ocena!$P$43,Ocena!$P$61,Ocena!$P$79,Ocena!$P$97,Ocena!$P$115,Ocena!$P$133,Ocena!$P$151))</f>
        <v>6</v>
      </c>
      <c r="J11" s="9">
        <f>IF(F11=0,"",MEDIAN(Ocena!$L$7,Ocena!$L$25,Ocena!$L$43,Ocena!$L$61,Ocena!$L$79,Ocena!$L$97,Ocena!$L$115,Ocena!$L$133,Ocena!$L$151))</f>
        <v>1</v>
      </c>
      <c r="K11" s="9">
        <f>IF(F11=0,"",AVERAGE(Ocena!$L$7,Ocena!$L$25,Ocena!$L$43,Ocena!$L$61,Ocena!$L$79,Ocena!$L$97,Ocena!$L$115,Ocena!$L$133,Ocena!$L$151))</f>
        <v>1.3333333333333333</v>
      </c>
      <c r="L11" s="9">
        <f>IF(F11=0,"",MEDIAN(Ocena!$M$7,Ocena!$M$25,Ocena!$M$43,Ocena!$M$61,Ocena!$M$79,Ocena!$M$97,Ocena!$M$115,Ocena!$M$133,Ocena!$M$151))</f>
        <v>1</v>
      </c>
      <c r="M11" s="9">
        <f>IF(F11=0,"",AVERAGE(Ocena!$M$7,Ocena!$M$25,Ocena!$M$43,Ocena!$M$61,Ocena!$M$79,Ocena!$M$97,Ocena!$M$115,Ocena!$M$133,Ocena!$M$151))</f>
        <v>1.4444444444444444</v>
      </c>
      <c r="N11" s="9">
        <f>IF(F11=0,"",MEDIAN(Ocena!$N$7,Ocena!$N$25,Ocena!$N$43,Ocena!$N$61,Ocena!$N$79,Ocena!$N$97,Ocena!$N$115,Ocena!$N$133,Ocena!$N$151))</f>
        <v>2</v>
      </c>
      <c r="O11" s="9">
        <f>IF(F11=0,"",AVERAGE(Ocena!$N$7,Ocena!$N$25,Ocena!$N$43,Ocena!$N$61,Ocena!$N$79,Ocena!$N$97,Ocena!$N$115,Ocena!$N$133,Ocena!$N$151))</f>
        <v>1.7777777777777777</v>
      </c>
      <c r="P11" s="9">
        <f>IF(F11=0,"",MEDIAN(Ocena!$O$7,Ocena!$O$25,Ocena!$O$43,Ocena!$O$61,Ocena!$O$79,Ocena!$O$97,Ocena!$O$115,Ocena!$O$133,Ocena!$O$151))</f>
        <v>1</v>
      </c>
      <c r="Q11" s="9">
        <f>IF(F11=0,"",AVERAGE(Ocena!$O$7,Ocena!$O$25,Ocena!$O$43,Ocena!$O$61,Ocena!$O$79,Ocena!$O$97,Ocena!$O$115,Ocena!$O$133,Ocena!$O$151))</f>
        <v>1.4444444444444444</v>
      </c>
      <c r="R11" s="9">
        <f>IF(F11=0,"",MIN(Ocena!$P$7,Ocena!$P$25,Ocena!$P$43,Ocena!$P$61,Ocena!$P$79,Ocena!$P$97,Ocena!$P$115,Ocena!$P$133,Ocena!$P$151))</f>
        <v>4</v>
      </c>
      <c r="S11" s="9">
        <f>IF(F11=0,"",MAX(Ocena!$P$7,Ocena!$P$25,Ocena!$P$43,Ocena!$P$61,Ocena!$P$79,Ocena!$P$97,Ocena!$P$115,Ocena!$P$133,Ocena!$P$151))</f>
        <v>10</v>
      </c>
      <c r="T11" s="10">
        <f>IF(AND(COUNT(Ocena!$L$7:$O$7)=4,COUNTIF(Ocena!$L$7:$O$7,0)=4),1,0)+IF(AND(COUNT(Ocena!$L$25:$O$25)=4,COUNTIF(Ocena!$L$25:$O$25,0)=4),1,0)+IF(AND(COUNT(Ocena!$L$43:$O$43)=4,COUNTIF(Ocena!$L$43:$O$43,0)=4),1,0)+IF(AND(COUNT(Ocena!$L$61:$O$61)=4,COUNTIF(Ocena!$L$61:$O$61,0)=4),1,0)+IF(AND(COUNT(Ocena!$L$79:$O$79)=4,COUNTIF(Ocena!$L$79:$O$79,0)=4),1,0)+IF(AND(COUNT(Ocena!$L$97:$O$97)=4,COUNTIF(Ocena!$L$97:$O$97,0)=4),1,0)+IF(AND(COUNT(Ocena!$L$115:$O$115)=4,COUNTIF(Ocena!$L$115:$O$115,0)=4),1,0)+IF(AND(COUNT(Ocena!$L$133:$O$133)=4,COUNTIF(Ocena!$L$133:$O$133,0)=4),1,0)+IF(AND(COUNT(Ocena!$L$151:$O$151)=4,COUNTIF(Ocena!$L$151:$O$151,0)=4),1,0)</f>
        <v>0</v>
      </c>
      <c r="U11" s="8">
        <f t="shared" si="1"/>
        <v>0</v>
      </c>
    </row>
    <row r="12" spans="1:21" ht="27.95" customHeight="1" x14ac:dyDescent="0.25">
      <c r="A12" s="2" t="s">
        <v>38</v>
      </c>
      <c r="B12" s="10">
        <v>4</v>
      </c>
      <c r="C12" s="10" t="s">
        <v>23</v>
      </c>
      <c r="D12" s="10">
        <v>4</v>
      </c>
      <c r="E12" s="10">
        <v>9</v>
      </c>
      <c r="F12" s="10">
        <f>COUNT(Ocena!$P$14,Ocena!$P$32,Ocena!$P$50,Ocena!$P$68,Ocena!$P$86,Ocena!$P$104,Ocena!$P$122,Ocena!$P$140,Ocena!$P$158)</f>
        <v>9</v>
      </c>
      <c r="G12" s="8">
        <f t="shared" si="0"/>
        <v>1</v>
      </c>
      <c r="H12" s="9">
        <f>IF(F12=0,"",MEDIAN(Ocena!$P$14,Ocena!$P$32,Ocena!$P$50,Ocena!$P$68,Ocena!$P$86,Ocena!$P$104,Ocena!$P$122,Ocena!$P$140,Ocena!$P$158))</f>
        <v>6</v>
      </c>
      <c r="I12" s="9">
        <f>IF(F12=0,"",AVERAGE(Ocena!$P$14,Ocena!$P$32,Ocena!$P$50,Ocena!$P$68,Ocena!$P$86,Ocena!$P$104,Ocena!$P$122,Ocena!$P$140,Ocena!$P$158))</f>
        <v>6</v>
      </c>
      <c r="J12" s="9">
        <f>IF(F12=0,"",MEDIAN(Ocena!$L$14,Ocena!$L$32,Ocena!$L$50,Ocena!$L$68,Ocena!$L$86,Ocena!$L$104,Ocena!$L$122,Ocena!$L$140,Ocena!$L$158))</f>
        <v>2</v>
      </c>
      <c r="K12" s="9">
        <f>IF(F12=0,"",AVERAGE(Ocena!$L$14,Ocena!$L$32,Ocena!$L$50,Ocena!$L$68,Ocena!$L$86,Ocena!$L$104,Ocena!$L$122,Ocena!$L$140,Ocena!$L$158))</f>
        <v>1.5555555555555556</v>
      </c>
      <c r="L12" s="9">
        <f>IF(F12=0,"",MEDIAN(Ocena!$M$14,Ocena!$M$32,Ocena!$M$50,Ocena!$M$68,Ocena!$M$86,Ocena!$M$104,Ocena!$M$122,Ocena!$M$140,Ocena!$M$158))</f>
        <v>1</v>
      </c>
      <c r="M12" s="9">
        <f>IF(F12=0,"",AVERAGE(Ocena!$M$14,Ocena!$M$32,Ocena!$M$50,Ocena!$M$68,Ocena!$M$86,Ocena!$M$104,Ocena!$M$122,Ocena!$M$140,Ocena!$M$158))</f>
        <v>1.5555555555555556</v>
      </c>
      <c r="N12" s="9">
        <f>IF(F12=0,"",MEDIAN(Ocena!$N$14,Ocena!$N$32,Ocena!$N$50,Ocena!$N$68,Ocena!$N$86,Ocena!$N$104,Ocena!$N$122,Ocena!$N$140,Ocena!$N$158))</f>
        <v>1</v>
      </c>
      <c r="O12" s="9">
        <f>IF(F12=0,"",AVERAGE(Ocena!$N$14,Ocena!$N$32,Ocena!$N$50,Ocena!$N$68,Ocena!$N$86,Ocena!$N$104,Ocena!$N$122,Ocena!$N$140,Ocena!$N$158))</f>
        <v>1.3333333333333333</v>
      </c>
      <c r="P12" s="9">
        <f>IF(F12=0,"",MEDIAN(Ocena!$O$14,Ocena!$O$32,Ocena!$O$50,Ocena!$O$68,Ocena!$O$86,Ocena!$O$104,Ocena!$O$122,Ocena!$O$140,Ocena!$O$158))</f>
        <v>2</v>
      </c>
      <c r="Q12" s="9">
        <f>IF(F12=0,"",AVERAGE(Ocena!$O$14,Ocena!$O$32,Ocena!$O$50,Ocena!$O$68,Ocena!$O$86,Ocena!$O$104,Ocena!$O$122,Ocena!$O$140,Ocena!$O$158))</f>
        <v>1.5555555555555556</v>
      </c>
      <c r="R12" s="9">
        <f>IF(F12=0,"",MIN(Ocena!$P$14,Ocena!$P$32,Ocena!$P$50,Ocena!$P$68,Ocena!$P$86,Ocena!$P$104,Ocena!$P$122,Ocena!$P$140,Ocena!$P$158))</f>
        <v>4</v>
      </c>
      <c r="S12" s="9">
        <f>IF(F12=0,"",MAX(Ocena!$P$14,Ocena!$P$32,Ocena!$P$50,Ocena!$P$68,Ocena!$P$86,Ocena!$P$104,Ocena!$P$122,Ocena!$P$140,Ocena!$P$158))</f>
        <v>9</v>
      </c>
      <c r="T12" s="10">
        <f>IF(AND(COUNT(Ocena!$L$14:$O$14)=4,COUNTIF(Ocena!$L$14:$O$14,0)=4),1,0)+IF(AND(COUNT(Ocena!$L$32:$O$32)=4,COUNTIF(Ocena!$L$32:$O$32,0)=4),1,0)+IF(AND(COUNT(Ocena!$L$50:$O$50)=4,COUNTIF(Ocena!$L$50:$O$50,0)=4),1,0)+IF(AND(COUNT(Ocena!$L$68:$O$68)=4,COUNTIF(Ocena!$L$68:$O$68,0)=4),1,0)+IF(AND(COUNT(Ocena!$L$86:$O$86)=4,COUNTIF(Ocena!$L$86:$O$86,0)=4),1,0)+IF(AND(COUNT(Ocena!$L$104:$O$104)=4,COUNTIF(Ocena!$L$104:$O$104,0)=4),1,0)+IF(AND(COUNT(Ocena!$L$122:$O$122)=4,COUNTIF(Ocena!$L$122:$O$122,0)=4),1,0)+IF(AND(COUNT(Ocena!$L$140:$O$140)=4,COUNTIF(Ocena!$L$140:$O$140,0)=4),1,0)+IF(AND(COUNT(Ocena!$L$158:$O$158)=4,COUNTIF(Ocena!$L$158:$O$158,0)=4),1,0)</f>
        <v>0</v>
      </c>
      <c r="U12" s="8">
        <f t="shared" si="1"/>
        <v>0</v>
      </c>
    </row>
    <row r="13" spans="1:21" ht="27.95" customHeight="1" x14ac:dyDescent="0.25">
      <c r="A13" s="2" t="s">
        <v>38</v>
      </c>
      <c r="B13" s="10">
        <v>4</v>
      </c>
      <c r="C13" s="10" t="s">
        <v>30</v>
      </c>
      <c r="D13" s="10">
        <v>4</v>
      </c>
      <c r="E13" s="10">
        <v>9</v>
      </c>
      <c r="F13" s="10">
        <f>COUNT(Ocena!$P$15,Ocena!$P$33,Ocena!$P$51,Ocena!$P$69,Ocena!$P$87,Ocena!$P$105,Ocena!$P$123,Ocena!$P$141,Ocena!$P$159)</f>
        <v>9</v>
      </c>
      <c r="G13" s="8">
        <f t="shared" si="0"/>
        <v>1</v>
      </c>
      <c r="H13" s="9">
        <f>IF(F13=0,"",MEDIAN(Ocena!$P$15,Ocena!$P$33,Ocena!$P$51,Ocena!$P$69,Ocena!$P$87,Ocena!$P$105,Ocena!$P$123,Ocena!$P$141,Ocena!$P$159))</f>
        <v>6</v>
      </c>
      <c r="I13" s="9">
        <f>IF(F13=0,"",AVERAGE(Ocena!$P$15,Ocena!$P$33,Ocena!$P$51,Ocena!$P$69,Ocena!$P$87,Ocena!$P$105,Ocena!$P$123,Ocena!$P$141,Ocena!$P$159))</f>
        <v>5.7777777777777777</v>
      </c>
      <c r="J13" s="9">
        <f>IF(F13=0,"",MEDIAN(Ocena!$L$15,Ocena!$L$33,Ocena!$L$51,Ocena!$L$69,Ocena!$L$87,Ocena!$L$105,Ocena!$L$123,Ocena!$L$141,Ocena!$L$159))</f>
        <v>2</v>
      </c>
      <c r="K13" s="9">
        <f>IF(F13=0,"",AVERAGE(Ocena!$L$15,Ocena!$L$33,Ocena!$L$51,Ocena!$L$69,Ocena!$L$87,Ocena!$L$105,Ocena!$L$123,Ocena!$L$141,Ocena!$L$159))</f>
        <v>1.4444444444444444</v>
      </c>
      <c r="L13" s="9">
        <f>IF(F13=0,"",MEDIAN(Ocena!$M$15,Ocena!$M$33,Ocena!$M$51,Ocena!$M$69,Ocena!$M$87,Ocena!$M$105,Ocena!$M$123,Ocena!$M$141,Ocena!$M$159))</f>
        <v>1</v>
      </c>
      <c r="M13" s="9">
        <f>IF(F13=0,"",AVERAGE(Ocena!$M$15,Ocena!$M$33,Ocena!$M$51,Ocena!$M$69,Ocena!$M$87,Ocena!$M$105,Ocena!$M$123,Ocena!$M$141,Ocena!$M$159))</f>
        <v>1.3333333333333333</v>
      </c>
      <c r="N13" s="9">
        <f>IF(F13=0,"",MEDIAN(Ocena!$N$15,Ocena!$N$33,Ocena!$N$51,Ocena!$N$69,Ocena!$N$87,Ocena!$N$105,Ocena!$N$123,Ocena!$N$141,Ocena!$N$159))</f>
        <v>1</v>
      </c>
      <c r="O13" s="9">
        <f>IF(F13=0,"",AVERAGE(Ocena!$N$15,Ocena!$N$33,Ocena!$N$51,Ocena!$N$69,Ocena!$N$87,Ocena!$N$105,Ocena!$N$123,Ocena!$N$141,Ocena!$N$159))</f>
        <v>1.4444444444444444</v>
      </c>
      <c r="P13" s="9">
        <f>IF(F13=0,"",MEDIAN(Ocena!$O$15,Ocena!$O$33,Ocena!$O$51,Ocena!$O$69,Ocena!$O$87,Ocena!$O$105,Ocena!$O$123,Ocena!$O$141,Ocena!$O$159))</f>
        <v>2</v>
      </c>
      <c r="Q13" s="9">
        <f>IF(F13=0,"",AVERAGE(Ocena!$O$15,Ocena!$O$33,Ocena!$O$51,Ocena!$O$69,Ocena!$O$87,Ocena!$O$105,Ocena!$O$123,Ocena!$O$141,Ocena!$O$159))</f>
        <v>1.5555555555555556</v>
      </c>
      <c r="R13" s="9">
        <f>IF(F13=0,"",MIN(Ocena!$P$15,Ocena!$P$33,Ocena!$P$51,Ocena!$P$69,Ocena!$P$87,Ocena!$P$105,Ocena!$P$123,Ocena!$P$141,Ocena!$P$159))</f>
        <v>4</v>
      </c>
      <c r="S13" s="9">
        <f>IF(F13=0,"",MAX(Ocena!$P$15,Ocena!$P$33,Ocena!$P$51,Ocena!$P$69,Ocena!$P$87,Ocena!$P$105,Ocena!$P$123,Ocena!$P$141,Ocena!$P$159))</f>
        <v>8</v>
      </c>
      <c r="T13" s="10">
        <f>IF(AND(COUNT(Ocena!$L$15:$O$15)=4,COUNTIF(Ocena!$L$15:$O$15,0)=4),1,0)+IF(AND(COUNT(Ocena!$L$33:$O$33)=4,COUNTIF(Ocena!$L$33:$O$33,0)=4),1,0)+IF(AND(COUNT(Ocena!$L$51:$O$51)=4,COUNTIF(Ocena!$L$51:$O$51,0)=4),1,0)+IF(AND(COUNT(Ocena!$L$69:$O$69)=4,COUNTIF(Ocena!$L$69:$O$69,0)=4),1,0)+IF(AND(COUNT(Ocena!$L$87:$O$87)=4,COUNTIF(Ocena!$L$87:$O$87,0)=4),1,0)+IF(AND(COUNT(Ocena!$L$105:$O$105)=4,COUNTIF(Ocena!$L$105:$O$105,0)=4),1,0)+IF(AND(COUNT(Ocena!$L$123:$O$123)=4,COUNTIF(Ocena!$L$123:$O$123,0)=4),1,0)+IF(AND(COUNT(Ocena!$L$141:$O$141)=4,COUNTIF(Ocena!$L$141:$O$141,0)=4),1,0)+IF(AND(COUNT(Ocena!$L$159:$O$159)=4,COUNTIF(Ocena!$L$159:$O$159,0)=4),1,0)</f>
        <v>0</v>
      </c>
      <c r="U13" s="8">
        <f t="shared" si="1"/>
        <v>0</v>
      </c>
    </row>
    <row r="14" spans="1:21" ht="27.95" customHeight="1" x14ac:dyDescent="0.25">
      <c r="A14" s="2" t="s">
        <v>38</v>
      </c>
      <c r="B14" s="10">
        <v>4</v>
      </c>
      <c r="C14" s="10" t="s">
        <v>35</v>
      </c>
      <c r="D14" s="10">
        <v>4</v>
      </c>
      <c r="E14" s="10">
        <v>9</v>
      </c>
      <c r="F14" s="10">
        <f>COUNT(Ocena!$P$16,Ocena!$P$34,Ocena!$P$52,Ocena!$P$70,Ocena!$P$88,Ocena!$P$106,Ocena!$P$124,Ocena!$P$142,Ocena!$P$160)</f>
        <v>9</v>
      </c>
      <c r="G14" s="8">
        <f t="shared" si="0"/>
        <v>1</v>
      </c>
      <c r="H14" s="9">
        <f>IF(F14=0,"",MEDIAN(Ocena!$P$16,Ocena!$P$34,Ocena!$P$52,Ocena!$P$70,Ocena!$P$88,Ocena!$P$106,Ocena!$P$124,Ocena!$P$142,Ocena!$P$160))</f>
        <v>6</v>
      </c>
      <c r="I14" s="9">
        <f>IF(F14=0,"",AVERAGE(Ocena!$P$16,Ocena!$P$34,Ocena!$P$52,Ocena!$P$70,Ocena!$P$88,Ocena!$P$106,Ocena!$P$124,Ocena!$P$142,Ocena!$P$160))</f>
        <v>6.4444444444444446</v>
      </c>
      <c r="J14" s="9">
        <f>IF(F14=0,"",MEDIAN(Ocena!$L$16,Ocena!$L$34,Ocena!$L$52,Ocena!$L$70,Ocena!$L$88,Ocena!$L$106,Ocena!$L$124,Ocena!$L$142,Ocena!$L$160))</f>
        <v>2</v>
      </c>
      <c r="K14" s="9">
        <f>IF(F14=0,"",AVERAGE(Ocena!$L$16,Ocena!$L$34,Ocena!$L$52,Ocena!$L$70,Ocena!$L$88,Ocena!$L$106,Ocena!$L$124,Ocena!$L$142,Ocena!$L$160))</f>
        <v>1.5555555555555556</v>
      </c>
      <c r="L14" s="9">
        <f>IF(F14=0,"",MEDIAN(Ocena!$M$16,Ocena!$M$34,Ocena!$M$52,Ocena!$M$70,Ocena!$M$88,Ocena!$M$106,Ocena!$M$124,Ocena!$M$142,Ocena!$M$160))</f>
        <v>1</v>
      </c>
      <c r="M14" s="9">
        <f>IF(F14=0,"",AVERAGE(Ocena!$M$16,Ocena!$M$34,Ocena!$M$52,Ocena!$M$70,Ocena!$M$88,Ocena!$M$106,Ocena!$M$124,Ocena!$M$142,Ocena!$M$160))</f>
        <v>1.5555555555555556</v>
      </c>
      <c r="N14" s="9">
        <f>IF(F14=0,"",MEDIAN(Ocena!$N$16,Ocena!$N$34,Ocena!$N$52,Ocena!$N$70,Ocena!$N$88,Ocena!$N$106,Ocena!$N$124,Ocena!$N$142,Ocena!$N$160))</f>
        <v>1</v>
      </c>
      <c r="O14" s="9">
        <f>IF(F14=0,"",AVERAGE(Ocena!$N$16,Ocena!$N$34,Ocena!$N$52,Ocena!$N$70,Ocena!$N$88,Ocena!$N$106,Ocena!$N$124,Ocena!$N$142,Ocena!$N$160))</f>
        <v>1.6666666666666667</v>
      </c>
      <c r="P14" s="9">
        <f>IF(F14=0,"",MEDIAN(Ocena!$O$16,Ocena!$O$34,Ocena!$O$52,Ocena!$O$70,Ocena!$O$88,Ocena!$O$106,Ocena!$O$124,Ocena!$O$142,Ocena!$O$160))</f>
        <v>2</v>
      </c>
      <c r="Q14" s="9">
        <f>IF(F14=0,"",AVERAGE(Ocena!$O$16,Ocena!$O$34,Ocena!$O$52,Ocena!$O$70,Ocena!$O$88,Ocena!$O$106,Ocena!$O$124,Ocena!$O$142,Ocena!$O$160))</f>
        <v>1.6666666666666667</v>
      </c>
      <c r="R14" s="9">
        <f>IF(F14=0,"",MIN(Ocena!$P$16,Ocena!$P$34,Ocena!$P$52,Ocena!$P$70,Ocena!$P$88,Ocena!$P$106,Ocena!$P$124,Ocena!$P$142,Ocena!$P$160))</f>
        <v>4</v>
      </c>
      <c r="S14" s="9">
        <f>IF(F14=0,"",MAX(Ocena!$P$16,Ocena!$P$34,Ocena!$P$52,Ocena!$P$70,Ocena!$P$88,Ocena!$P$106,Ocena!$P$124,Ocena!$P$142,Ocena!$P$160))</f>
        <v>10</v>
      </c>
      <c r="T14" s="10">
        <f>IF(AND(COUNT(Ocena!$L$16:$O$16)=4,COUNTIF(Ocena!$L$16:$O$16,0)=4),1,0)+IF(AND(COUNT(Ocena!$L$34:$O$34)=4,COUNTIF(Ocena!$L$34:$O$34,0)=4),1,0)+IF(AND(COUNT(Ocena!$L$52:$O$52)=4,COUNTIF(Ocena!$L$52:$O$52,0)=4),1,0)+IF(AND(COUNT(Ocena!$L$70:$O$70)=4,COUNTIF(Ocena!$L$70:$O$70,0)=4),1,0)+IF(AND(COUNT(Ocena!$L$88:$O$88)=4,COUNTIF(Ocena!$L$88:$O$88,0)=4),1,0)+IF(AND(COUNT(Ocena!$L$106:$O$106)=4,COUNTIF(Ocena!$L$106:$O$106,0)=4),1,0)+IF(AND(COUNT(Ocena!$L$124:$O$124)=4,COUNTIF(Ocena!$L$124:$O$124,0)=4),1,0)+IF(AND(COUNT(Ocena!$L$142:$O$142)=4,COUNTIF(Ocena!$L$142:$O$142,0)=4),1,0)+IF(AND(COUNT(Ocena!$L$160:$O$160)=4,COUNTIF(Ocena!$L$160:$O$160,0)=4),1,0)</f>
        <v>0</v>
      </c>
      <c r="U14" s="8">
        <f t="shared" si="1"/>
        <v>0</v>
      </c>
    </row>
    <row r="15" spans="1:21" ht="27.95" customHeight="1" x14ac:dyDescent="0.25">
      <c r="A15" s="2" t="s">
        <v>39</v>
      </c>
      <c r="B15" s="10">
        <v>2</v>
      </c>
      <c r="C15" s="10" t="s">
        <v>23</v>
      </c>
      <c r="D15" s="10">
        <v>2</v>
      </c>
      <c r="E15" s="10">
        <v>9</v>
      </c>
      <c r="F15" s="10">
        <f>COUNT(Ocena!$P$8,Ocena!$P$26,Ocena!$P$44,Ocena!$P$62,Ocena!$P$80,Ocena!$P$98,Ocena!$P$116,Ocena!$P$134,Ocena!$P$152)</f>
        <v>9</v>
      </c>
      <c r="G15" s="8">
        <f t="shared" si="0"/>
        <v>1</v>
      </c>
      <c r="H15" s="9">
        <f>IF(F15=0,"",MEDIAN(Ocena!$P$8,Ocena!$P$26,Ocena!$P$44,Ocena!$P$62,Ocena!$P$80,Ocena!$P$98,Ocena!$P$116,Ocena!$P$134,Ocena!$P$152))</f>
        <v>8</v>
      </c>
      <c r="I15" s="9">
        <f>IF(F15=0,"",AVERAGE(Ocena!$P$8,Ocena!$P$26,Ocena!$P$44,Ocena!$P$62,Ocena!$P$80,Ocena!$P$98,Ocena!$P$116,Ocena!$P$134,Ocena!$P$152))</f>
        <v>8.6666666666666661</v>
      </c>
      <c r="J15" s="9">
        <f>IF(F15=0,"",MEDIAN(Ocena!$L$8,Ocena!$L$26,Ocena!$L$44,Ocena!$L$62,Ocena!$L$80,Ocena!$L$98,Ocena!$L$116,Ocena!$L$134,Ocena!$L$152))</f>
        <v>3</v>
      </c>
      <c r="K15" s="9">
        <f>IF(F15=0,"",AVERAGE(Ocena!$L$8,Ocena!$L$26,Ocena!$L$44,Ocena!$L$62,Ocena!$L$80,Ocena!$L$98,Ocena!$L$116,Ocena!$L$134,Ocena!$L$152))</f>
        <v>2.6666666666666665</v>
      </c>
      <c r="L15" s="9">
        <f>IF(F15=0,"",MEDIAN(Ocena!$M$8,Ocena!$M$26,Ocena!$M$44,Ocena!$M$62,Ocena!$M$80,Ocena!$M$98,Ocena!$M$116,Ocena!$M$134,Ocena!$M$152))</f>
        <v>2</v>
      </c>
      <c r="M15" s="9">
        <f>IF(F15=0,"",AVERAGE(Ocena!$M$8,Ocena!$M$26,Ocena!$M$44,Ocena!$M$62,Ocena!$M$80,Ocena!$M$98,Ocena!$M$116,Ocena!$M$134,Ocena!$M$152))</f>
        <v>1.8888888888888888</v>
      </c>
      <c r="N15" s="9">
        <f>IF(F15=0,"",MEDIAN(Ocena!$N$8,Ocena!$N$26,Ocena!$N$44,Ocena!$N$62,Ocena!$N$80,Ocena!$N$98,Ocena!$N$116,Ocena!$N$134,Ocena!$N$152))</f>
        <v>2</v>
      </c>
      <c r="O15" s="9">
        <f>IF(F15=0,"",AVERAGE(Ocena!$N$8,Ocena!$N$26,Ocena!$N$44,Ocena!$N$62,Ocena!$N$80,Ocena!$N$98,Ocena!$N$116,Ocena!$N$134,Ocena!$N$152))</f>
        <v>2</v>
      </c>
      <c r="P15" s="9">
        <f>IF(F15=0,"",MEDIAN(Ocena!$O$8,Ocena!$O$26,Ocena!$O$44,Ocena!$O$62,Ocena!$O$80,Ocena!$O$98,Ocena!$O$116,Ocena!$O$134,Ocena!$O$152))</f>
        <v>2</v>
      </c>
      <c r="Q15" s="9">
        <f>IF(F15=0,"",AVERAGE(Ocena!$O$8,Ocena!$O$26,Ocena!$O$44,Ocena!$O$62,Ocena!$O$80,Ocena!$O$98,Ocena!$O$116,Ocena!$O$134,Ocena!$O$152))</f>
        <v>2.1111111111111112</v>
      </c>
      <c r="R15" s="9">
        <f>IF(F15=0,"",MIN(Ocena!$P$8,Ocena!$P$26,Ocena!$P$44,Ocena!$P$62,Ocena!$P$80,Ocena!$P$98,Ocena!$P$116,Ocena!$P$134,Ocena!$P$152))</f>
        <v>7</v>
      </c>
      <c r="S15" s="9">
        <f>IF(F15=0,"",MAX(Ocena!$P$8,Ocena!$P$26,Ocena!$P$44,Ocena!$P$62,Ocena!$P$80,Ocena!$P$98,Ocena!$P$116,Ocena!$P$134,Ocena!$P$152))</f>
        <v>11</v>
      </c>
      <c r="T15" s="10">
        <f>IF(AND(COUNT(Ocena!$L$8:$O$8)=4,COUNTIF(Ocena!$L$8:$O$8,0)=4),1,0)+IF(AND(COUNT(Ocena!$L$26:$O$26)=4,COUNTIF(Ocena!$L$26:$O$26,0)=4),1,0)+IF(AND(COUNT(Ocena!$L$44:$O$44)=4,COUNTIF(Ocena!$L$44:$O$44,0)=4),1,0)+IF(AND(COUNT(Ocena!$L$62:$O$62)=4,COUNTIF(Ocena!$L$62:$O$62,0)=4),1,0)+IF(AND(COUNT(Ocena!$L$80:$O$80)=4,COUNTIF(Ocena!$L$80:$O$80,0)=4),1,0)+IF(AND(COUNT(Ocena!$L$98:$O$98)=4,COUNTIF(Ocena!$L$98:$O$98,0)=4),1,0)+IF(AND(COUNT(Ocena!$L$116:$O$116)=4,COUNTIF(Ocena!$L$116:$O$116,0)=4),1,0)+IF(AND(COUNT(Ocena!$L$134:$O$134)=4,COUNTIF(Ocena!$L$134:$O$134,0)=4),1,0)+IF(AND(COUNT(Ocena!$L$152:$O$152)=4,COUNTIF(Ocena!$L$152:$O$152,0)=4),1,0)</f>
        <v>0</v>
      </c>
      <c r="U15" s="8">
        <f t="shared" si="1"/>
        <v>0</v>
      </c>
    </row>
    <row r="16" spans="1:21" ht="27.95" customHeight="1" x14ac:dyDescent="0.25">
      <c r="A16" s="2" t="s">
        <v>39</v>
      </c>
      <c r="B16" s="10">
        <v>2</v>
      </c>
      <c r="C16" s="10" t="s">
        <v>30</v>
      </c>
      <c r="D16" s="10">
        <v>2</v>
      </c>
      <c r="E16" s="10">
        <v>9</v>
      </c>
      <c r="F16" s="10">
        <f>COUNT(Ocena!$P$9,Ocena!$P$27,Ocena!$P$45,Ocena!$P$63,Ocena!$P$81,Ocena!$P$99,Ocena!$P$117,Ocena!$P$135,Ocena!$P$153)</f>
        <v>9</v>
      </c>
      <c r="G16" s="8">
        <f t="shared" si="0"/>
        <v>1</v>
      </c>
      <c r="H16" s="9">
        <f>IF(F16=0,"",MEDIAN(Ocena!$P$9,Ocena!$P$27,Ocena!$P$45,Ocena!$P$63,Ocena!$P$81,Ocena!$P$99,Ocena!$P$117,Ocena!$P$135,Ocena!$P$153))</f>
        <v>8</v>
      </c>
      <c r="I16" s="9">
        <f>IF(F16=0,"",AVERAGE(Ocena!$P$9,Ocena!$P$27,Ocena!$P$45,Ocena!$P$63,Ocena!$P$81,Ocena!$P$99,Ocena!$P$117,Ocena!$P$135,Ocena!$P$153))</f>
        <v>8.4444444444444446</v>
      </c>
      <c r="J16" s="9">
        <f>IF(F16=0,"",MEDIAN(Ocena!$L$9,Ocena!$L$27,Ocena!$L$45,Ocena!$L$63,Ocena!$L$81,Ocena!$L$99,Ocena!$L$117,Ocena!$L$135,Ocena!$L$153))</f>
        <v>3</v>
      </c>
      <c r="K16" s="9">
        <f>IF(F16=0,"",AVERAGE(Ocena!$L$9,Ocena!$L$27,Ocena!$L$45,Ocena!$L$63,Ocena!$L$81,Ocena!$L$99,Ocena!$L$117,Ocena!$L$135,Ocena!$L$153))</f>
        <v>2.6666666666666665</v>
      </c>
      <c r="L16" s="9">
        <f>IF(F16=0,"",MEDIAN(Ocena!$M$9,Ocena!$M$27,Ocena!$M$45,Ocena!$M$63,Ocena!$M$81,Ocena!$M$99,Ocena!$M$117,Ocena!$M$135,Ocena!$M$153))</f>
        <v>2</v>
      </c>
      <c r="M16" s="9">
        <f>IF(F16=0,"",AVERAGE(Ocena!$M$9,Ocena!$M$27,Ocena!$M$45,Ocena!$M$63,Ocena!$M$81,Ocena!$M$99,Ocena!$M$117,Ocena!$M$135,Ocena!$M$153))</f>
        <v>1.8888888888888888</v>
      </c>
      <c r="N16" s="9">
        <f>IF(F16=0,"",MEDIAN(Ocena!$N$9,Ocena!$N$27,Ocena!$N$45,Ocena!$N$63,Ocena!$N$81,Ocena!$N$99,Ocena!$N$117,Ocena!$N$135,Ocena!$N$153))</f>
        <v>2</v>
      </c>
      <c r="O16" s="9">
        <f>IF(F16=0,"",AVERAGE(Ocena!$N$9,Ocena!$N$27,Ocena!$N$45,Ocena!$N$63,Ocena!$N$81,Ocena!$N$99,Ocena!$N$117,Ocena!$N$135,Ocena!$N$153))</f>
        <v>1.8888888888888888</v>
      </c>
      <c r="P16" s="9">
        <f>IF(F16=0,"",MEDIAN(Ocena!$O$9,Ocena!$O$27,Ocena!$O$45,Ocena!$O$63,Ocena!$O$81,Ocena!$O$99,Ocena!$O$117,Ocena!$O$135,Ocena!$O$153))</f>
        <v>2</v>
      </c>
      <c r="Q16" s="9">
        <f>IF(F16=0,"",AVERAGE(Ocena!$O$9,Ocena!$O$27,Ocena!$O$45,Ocena!$O$63,Ocena!$O$81,Ocena!$O$99,Ocena!$O$117,Ocena!$O$135,Ocena!$O$153))</f>
        <v>2</v>
      </c>
      <c r="R16" s="9">
        <f>IF(F16=0,"",MIN(Ocena!$P$9,Ocena!$P$27,Ocena!$P$45,Ocena!$P$63,Ocena!$P$81,Ocena!$P$99,Ocena!$P$117,Ocena!$P$135,Ocena!$P$153))</f>
        <v>7</v>
      </c>
      <c r="S16" s="9">
        <f>IF(F16=0,"",MAX(Ocena!$P$9,Ocena!$P$27,Ocena!$P$45,Ocena!$P$63,Ocena!$P$81,Ocena!$P$99,Ocena!$P$117,Ocena!$P$135,Ocena!$P$153))</f>
        <v>10</v>
      </c>
      <c r="T16" s="10">
        <f>IF(AND(COUNT(Ocena!$L$9:$O$9)=4,COUNTIF(Ocena!$L$9:$O$9,0)=4),1,0)+IF(AND(COUNT(Ocena!$L$27:$O$27)=4,COUNTIF(Ocena!$L$27:$O$27,0)=4),1,0)+IF(AND(COUNT(Ocena!$L$45:$O$45)=4,COUNTIF(Ocena!$L$45:$O$45,0)=4),1,0)+IF(AND(COUNT(Ocena!$L$63:$O$63)=4,COUNTIF(Ocena!$L$63:$O$63,0)=4),1,0)+IF(AND(COUNT(Ocena!$L$81:$O$81)=4,COUNTIF(Ocena!$L$81:$O$81,0)=4),1,0)+IF(AND(COUNT(Ocena!$L$99:$O$99)=4,COUNTIF(Ocena!$L$99:$O$99,0)=4),1,0)+IF(AND(COUNT(Ocena!$L$117:$O$117)=4,COUNTIF(Ocena!$L$117:$O$117,0)=4),1,0)+IF(AND(COUNT(Ocena!$L$135:$O$135)=4,COUNTIF(Ocena!$L$135:$O$135,0)=4),1,0)+IF(AND(COUNT(Ocena!$L$153:$O$153)=4,COUNTIF(Ocena!$L$153:$O$153,0)=4),1,0)</f>
        <v>0</v>
      </c>
      <c r="U16" s="8">
        <f t="shared" si="1"/>
        <v>0</v>
      </c>
    </row>
    <row r="17" spans="1:21" ht="27.95" customHeight="1" x14ac:dyDescent="0.25">
      <c r="A17" s="2" t="s">
        <v>39</v>
      </c>
      <c r="B17" s="10">
        <v>2</v>
      </c>
      <c r="C17" s="10" t="s">
        <v>35</v>
      </c>
      <c r="D17" s="10">
        <v>2</v>
      </c>
      <c r="E17" s="10">
        <v>9</v>
      </c>
      <c r="F17" s="10">
        <f>COUNT(Ocena!$P$10,Ocena!$P$28,Ocena!$P$46,Ocena!$P$64,Ocena!$P$82,Ocena!$P$100,Ocena!$P$118,Ocena!$P$136,Ocena!$P$154)</f>
        <v>9</v>
      </c>
      <c r="G17" s="8">
        <f t="shared" si="0"/>
        <v>1</v>
      </c>
      <c r="H17" s="9">
        <f>IF(F17=0,"",MEDIAN(Ocena!$P$10,Ocena!$P$28,Ocena!$P$46,Ocena!$P$64,Ocena!$P$82,Ocena!$P$100,Ocena!$P$118,Ocena!$P$136,Ocena!$P$154))</f>
        <v>9</v>
      </c>
      <c r="I17" s="9">
        <f>IF(F17=0,"",AVERAGE(Ocena!$P$10,Ocena!$P$28,Ocena!$P$46,Ocena!$P$64,Ocena!$P$82,Ocena!$P$100,Ocena!$P$118,Ocena!$P$136,Ocena!$P$154))</f>
        <v>8.6666666666666661</v>
      </c>
      <c r="J17" s="9">
        <f>IF(F17=0,"",MEDIAN(Ocena!$L$10,Ocena!$L$28,Ocena!$L$46,Ocena!$L$64,Ocena!$L$82,Ocena!$L$100,Ocena!$L$118,Ocena!$L$136,Ocena!$L$154))</f>
        <v>3</v>
      </c>
      <c r="K17" s="9">
        <f>IF(F17=0,"",AVERAGE(Ocena!$L$10,Ocena!$L$28,Ocena!$L$46,Ocena!$L$64,Ocena!$L$82,Ocena!$L$100,Ocena!$L$118,Ocena!$L$136,Ocena!$L$154))</f>
        <v>2.6666666666666665</v>
      </c>
      <c r="L17" s="9">
        <f>IF(F17=0,"",MEDIAN(Ocena!$M$10,Ocena!$M$28,Ocena!$M$46,Ocena!$M$64,Ocena!$M$82,Ocena!$M$100,Ocena!$M$118,Ocena!$M$136,Ocena!$M$154))</f>
        <v>2</v>
      </c>
      <c r="M17" s="9">
        <f>IF(F17=0,"",AVERAGE(Ocena!$M$10,Ocena!$M$28,Ocena!$M$46,Ocena!$M$64,Ocena!$M$82,Ocena!$M$100,Ocena!$M$118,Ocena!$M$136,Ocena!$M$154))</f>
        <v>1.8888888888888888</v>
      </c>
      <c r="N17" s="9">
        <f>IF(F17=0,"",MEDIAN(Ocena!$N$10,Ocena!$N$28,Ocena!$N$46,Ocena!$N$64,Ocena!$N$82,Ocena!$N$100,Ocena!$N$118,Ocena!$N$136,Ocena!$N$154))</f>
        <v>2</v>
      </c>
      <c r="O17" s="9">
        <f>IF(F17=0,"",AVERAGE(Ocena!$N$10,Ocena!$N$28,Ocena!$N$46,Ocena!$N$64,Ocena!$N$82,Ocena!$N$100,Ocena!$N$118,Ocena!$N$136,Ocena!$N$154))</f>
        <v>2.1111111111111112</v>
      </c>
      <c r="P17" s="9">
        <f>IF(F17=0,"",MEDIAN(Ocena!$O$10,Ocena!$O$28,Ocena!$O$46,Ocena!$O$64,Ocena!$O$82,Ocena!$O$100,Ocena!$O$118,Ocena!$O$136,Ocena!$O$154))</f>
        <v>2</v>
      </c>
      <c r="Q17" s="9">
        <f>IF(F17=0,"",AVERAGE(Ocena!$O$10,Ocena!$O$28,Ocena!$O$46,Ocena!$O$64,Ocena!$O$82,Ocena!$O$100,Ocena!$O$118,Ocena!$O$136,Ocena!$O$154))</f>
        <v>2</v>
      </c>
      <c r="R17" s="9">
        <f>IF(F17=0,"",MIN(Ocena!$P$10,Ocena!$P$28,Ocena!$P$46,Ocena!$P$64,Ocena!$P$82,Ocena!$P$100,Ocena!$P$118,Ocena!$P$136,Ocena!$P$154))</f>
        <v>7</v>
      </c>
      <c r="S17" s="9">
        <f>IF(F17=0,"",MAX(Ocena!$P$10,Ocena!$P$28,Ocena!$P$46,Ocena!$P$64,Ocena!$P$82,Ocena!$P$100,Ocena!$P$118,Ocena!$P$136,Ocena!$P$154))</f>
        <v>10</v>
      </c>
      <c r="T17" s="10">
        <f>IF(AND(COUNT(Ocena!$L$10:$O$10)=4,COUNTIF(Ocena!$L$10:$O$10,0)=4),1,0)+IF(AND(COUNT(Ocena!$L$28:$O$28)=4,COUNTIF(Ocena!$L$28:$O$28,0)=4),1,0)+IF(AND(COUNT(Ocena!$L$46:$O$46)=4,COUNTIF(Ocena!$L$46:$O$46,0)=4),1,0)+IF(AND(COUNT(Ocena!$L$64:$O$64)=4,COUNTIF(Ocena!$L$64:$O$64,0)=4),1,0)+IF(AND(COUNT(Ocena!$L$82:$O$82)=4,COUNTIF(Ocena!$L$82:$O$82,0)=4),1,0)+IF(AND(COUNT(Ocena!$L$100:$O$100)=4,COUNTIF(Ocena!$L$100:$O$100,0)=4),1,0)+IF(AND(COUNT(Ocena!$L$118:$O$118)=4,COUNTIF(Ocena!$L$118:$O$118,0)=4),1,0)+IF(AND(COUNT(Ocena!$L$136:$O$136)=4,COUNTIF(Ocena!$L$136:$O$136,0)=4),1,0)+IF(AND(COUNT(Ocena!$L$154:$O$154)=4,COUNTIF(Ocena!$L$154:$O$154,0)=4),1,0)</f>
        <v>0</v>
      </c>
      <c r="U17" s="8">
        <f t="shared" si="1"/>
        <v>0</v>
      </c>
    </row>
    <row r="18" spans="1:21" ht="27.95" customHeight="1" x14ac:dyDescent="0.25">
      <c r="A18" s="2" t="s">
        <v>39</v>
      </c>
      <c r="B18" s="10">
        <v>4</v>
      </c>
      <c r="C18" s="10" t="s">
        <v>23</v>
      </c>
      <c r="D18" s="10">
        <v>4</v>
      </c>
      <c r="E18" s="10">
        <v>9</v>
      </c>
      <c r="F18" s="10">
        <f>COUNT(Ocena!$P$17,Ocena!$P$35,Ocena!$P$53,Ocena!$P$71,Ocena!$P$89,Ocena!$P$107,Ocena!$P$125,Ocena!$P$143,Ocena!$P$161)</f>
        <v>9</v>
      </c>
      <c r="G18" s="8">
        <f t="shared" si="0"/>
        <v>1</v>
      </c>
      <c r="H18" s="9">
        <f>IF(F18=0,"",MEDIAN(Ocena!$P$17,Ocena!$P$35,Ocena!$P$53,Ocena!$P$71,Ocena!$P$89,Ocena!$P$107,Ocena!$P$125,Ocena!$P$143,Ocena!$P$161))</f>
        <v>8</v>
      </c>
      <c r="I18" s="9">
        <f>IF(F18=0,"",AVERAGE(Ocena!$P$17,Ocena!$P$35,Ocena!$P$53,Ocena!$P$71,Ocena!$P$89,Ocena!$P$107,Ocena!$P$125,Ocena!$P$143,Ocena!$P$161))</f>
        <v>8.3333333333333339</v>
      </c>
      <c r="J18" s="9">
        <f>IF(F18=0,"",MEDIAN(Ocena!$L$17,Ocena!$L$35,Ocena!$L$53,Ocena!$L$71,Ocena!$L$89,Ocena!$L$107,Ocena!$L$125,Ocena!$L$143,Ocena!$L$161))</f>
        <v>3</v>
      </c>
      <c r="K18" s="9">
        <f>IF(F18=0,"",AVERAGE(Ocena!$L$17,Ocena!$L$35,Ocena!$L$53,Ocena!$L$71,Ocena!$L$89,Ocena!$L$107,Ocena!$L$125,Ocena!$L$143,Ocena!$L$161))</f>
        <v>2.6666666666666665</v>
      </c>
      <c r="L18" s="9">
        <f>IF(F18=0,"",MEDIAN(Ocena!$M$17,Ocena!$M$35,Ocena!$M$53,Ocena!$M$71,Ocena!$M$89,Ocena!$M$107,Ocena!$M$125,Ocena!$M$143,Ocena!$M$161))</f>
        <v>2</v>
      </c>
      <c r="M18" s="9">
        <f>IF(F18=0,"",AVERAGE(Ocena!$M$17,Ocena!$M$35,Ocena!$M$53,Ocena!$M$71,Ocena!$M$89,Ocena!$M$107,Ocena!$M$125,Ocena!$M$143,Ocena!$M$161))</f>
        <v>1.6666666666666667</v>
      </c>
      <c r="N18" s="9">
        <f>IF(F18=0,"",MEDIAN(Ocena!$N$17,Ocena!$N$35,Ocena!$N$53,Ocena!$N$71,Ocena!$N$89,Ocena!$N$107,Ocena!$N$125,Ocena!$N$143,Ocena!$N$161))</f>
        <v>2</v>
      </c>
      <c r="O18" s="9">
        <f>IF(F18=0,"",AVERAGE(Ocena!$N$17,Ocena!$N$35,Ocena!$N$53,Ocena!$N$71,Ocena!$N$89,Ocena!$N$107,Ocena!$N$125,Ocena!$N$143,Ocena!$N$161))</f>
        <v>1.8888888888888888</v>
      </c>
      <c r="P18" s="9">
        <f>IF(F18=0,"",MEDIAN(Ocena!$O$17,Ocena!$O$35,Ocena!$O$53,Ocena!$O$71,Ocena!$O$89,Ocena!$O$107,Ocena!$O$125,Ocena!$O$143,Ocena!$O$161))</f>
        <v>2</v>
      </c>
      <c r="Q18" s="9">
        <f>IF(F18=0,"",AVERAGE(Ocena!$O$17,Ocena!$O$35,Ocena!$O$53,Ocena!$O$71,Ocena!$O$89,Ocena!$O$107,Ocena!$O$125,Ocena!$O$143,Ocena!$O$161))</f>
        <v>2.1111111111111112</v>
      </c>
      <c r="R18" s="9">
        <f>IF(F18=0,"",MIN(Ocena!$P$17,Ocena!$P$35,Ocena!$P$53,Ocena!$P$71,Ocena!$P$89,Ocena!$P$107,Ocena!$P$125,Ocena!$P$143,Ocena!$P$161))</f>
        <v>7</v>
      </c>
      <c r="S18" s="9">
        <f>IF(F18=0,"",MAX(Ocena!$P$17,Ocena!$P$35,Ocena!$P$53,Ocena!$P$71,Ocena!$P$89,Ocena!$P$107,Ocena!$P$125,Ocena!$P$143,Ocena!$P$161))</f>
        <v>10</v>
      </c>
      <c r="T18" s="10">
        <f>IF(AND(COUNT(Ocena!$L$17:$O$17)=4,COUNTIF(Ocena!$L$17:$O$17,0)=4),1,0)+IF(AND(COUNT(Ocena!$L$35:$O$35)=4,COUNTIF(Ocena!$L$35:$O$35,0)=4),1,0)+IF(AND(COUNT(Ocena!$L$53:$O$53)=4,COUNTIF(Ocena!$L$53:$O$53,0)=4),1,0)+IF(AND(COUNT(Ocena!$L$71:$O$71)=4,COUNTIF(Ocena!$L$71:$O$71,0)=4),1,0)+IF(AND(COUNT(Ocena!$L$89:$O$89)=4,COUNTIF(Ocena!$L$89:$O$89,0)=4),1,0)+IF(AND(COUNT(Ocena!$L$107:$O$107)=4,COUNTIF(Ocena!$L$107:$O$107,0)=4),1,0)+IF(AND(COUNT(Ocena!$L$125:$O$125)=4,COUNTIF(Ocena!$L$125:$O$125,0)=4),1,0)+IF(AND(COUNT(Ocena!$L$143:$O$143)=4,COUNTIF(Ocena!$L$143:$O$143,0)=4),1,0)+IF(AND(COUNT(Ocena!$L$161:$O$161)=4,COUNTIF(Ocena!$L$161:$O$161,0)=4),1,0)</f>
        <v>0</v>
      </c>
      <c r="U18" s="8">
        <f t="shared" si="1"/>
        <v>0</v>
      </c>
    </row>
    <row r="19" spans="1:21" ht="27.95" customHeight="1" x14ac:dyDescent="0.25">
      <c r="A19" s="2" t="s">
        <v>39</v>
      </c>
      <c r="B19" s="10">
        <v>4</v>
      </c>
      <c r="C19" s="10" t="s">
        <v>30</v>
      </c>
      <c r="D19" s="10">
        <v>4</v>
      </c>
      <c r="E19" s="10">
        <v>9</v>
      </c>
      <c r="F19" s="10">
        <f>COUNT(Ocena!$P$18,Ocena!$P$36,Ocena!$P$54,Ocena!$P$72,Ocena!$P$90,Ocena!$P$108,Ocena!$P$126,Ocena!$P$144,Ocena!$P$162)</f>
        <v>9</v>
      </c>
      <c r="G19" s="8">
        <f t="shared" si="0"/>
        <v>1</v>
      </c>
      <c r="H19" s="9">
        <f>IF(F19=0,"",MEDIAN(Ocena!$P$18,Ocena!$P$36,Ocena!$P$54,Ocena!$P$72,Ocena!$P$90,Ocena!$P$108,Ocena!$P$126,Ocena!$P$144,Ocena!$P$162))</f>
        <v>8</v>
      </c>
      <c r="I19" s="9">
        <f>IF(F19=0,"",AVERAGE(Ocena!$P$18,Ocena!$P$36,Ocena!$P$54,Ocena!$P$72,Ocena!$P$90,Ocena!$P$108,Ocena!$P$126,Ocena!$P$144,Ocena!$P$162))</f>
        <v>8.2222222222222214</v>
      </c>
      <c r="J19" s="9">
        <f>IF(F19=0,"",MEDIAN(Ocena!$L$18,Ocena!$L$36,Ocena!$L$54,Ocena!$L$72,Ocena!$L$90,Ocena!$L$108,Ocena!$L$126,Ocena!$L$144,Ocena!$L$162))</f>
        <v>3</v>
      </c>
      <c r="K19" s="9">
        <f>IF(F19=0,"",AVERAGE(Ocena!$L$18,Ocena!$L$36,Ocena!$L$54,Ocena!$L$72,Ocena!$L$90,Ocena!$L$108,Ocena!$L$126,Ocena!$L$144,Ocena!$L$162))</f>
        <v>2.6666666666666665</v>
      </c>
      <c r="L19" s="9">
        <f>IF(F19=0,"",MEDIAN(Ocena!$M$18,Ocena!$M$36,Ocena!$M$54,Ocena!$M$72,Ocena!$M$90,Ocena!$M$108,Ocena!$M$126,Ocena!$M$144,Ocena!$M$162))</f>
        <v>2</v>
      </c>
      <c r="M19" s="9">
        <f>IF(F19=0,"",AVERAGE(Ocena!$M$18,Ocena!$M$36,Ocena!$M$54,Ocena!$M$72,Ocena!$M$90,Ocena!$M$108,Ocena!$M$126,Ocena!$M$144,Ocena!$M$162))</f>
        <v>1.6666666666666667</v>
      </c>
      <c r="N19" s="9">
        <f>IF(F19=0,"",MEDIAN(Ocena!$N$18,Ocena!$N$36,Ocena!$N$54,Ocena!$N$72,Ocena!$N$90,Ocena!$N$108,Ocena!$N$126,Ocena!$N$144,Ocena!$N$162))</f>
        <v>2</v>
      </c>
      <c r="O19" s="9">
        <f>IF(F19=0,"",AVERAGE(Ocena!$N$18,Ocena!$N$36,Ocena!$N$54,Ocena!$N$72,Ocena!$N$90,Ocena!$N$108,Ocena!$N$126,Ocena!$N$144,Ocena!$N$162))</f>
        <v>1.7777777777777777</v>
      </c>
      <c r="P19" s="9">
        <f>IF(F19=0,"",MEDIAN(Ocena!$O$18,Ocena!$O$36,Ocena!$O$54,Ocena!$O$72,Ocena!$O$90,Ocena!$O$108,Ocena!$O$126,Ocena!$O$144,Ocena!$O$162))</f>
        <v>2</v>
      </c>
      <c r="Q19" s="9">
        <f>IF(F19=0,"",AVERAGE(Ocena!$O$18,Ocena!$O$36,Ocena!$O$54,Ocena!$O$72,Ocena!$O$90,Ocena!$O$108,Ocena!$O$126,Ocena!$O$144,Ocena!$O$162))</f>
        <v>2.1111111111111112</v>
      </c>
      <c r="R19" s="9">
        <f>IF(F19=0,"",MIN(Ocena!$P$18,Ocena!$P$36,Ocena!$P$54,Ocena!$P$72,Ocena!$P$90,Ocena!$P$108,Ocena!$P$126,Ocena!$P$144,Ocena!$P$162))</f>
        <v>7</v>
      </c>
      <c r="S19" s="9">
        <f>IF(F19=0,"",MAX(Ocena!$P$18,Ocena!$P$36,Ocena!$P$54,Ocena!$P$72,Ocena!$P$90,Ocena!$P$108,Ocena!$P$126,Ocena!$P$144,Ocena!$P$162))</f>
        <v>10</v>
      </c>
      <c r="T19" s="10">
        <f>IF(AND(COUNT(Ocena!$L$18:$O$19)=4,COUNTIF(Ocena!$L$18:$O$19,0)=4),1,0)+IF(AND(COUNT(Ocena!$L$36:$O$36)=4,COUNTIF(Ocena!$L$36:$O$36,0)=4),1,0)+IF(AND(COUNT(Ocena!$L$54:$O$54)=4,COUNTIF(Ocena!$L$54:$O$54,0)=4),1,0)+IF(AND(COUNT(Ocena!$L$72:$O$72)=4,COUNTIF(Ocena!$L$72:$O$72,0)=4),1,0)+IF(AND(COUNT(Ocena!$L$90:$O$90)=4,COUNTIF(Ocena!$L$90:$O$90,0)=4),1,0)+IF(AND(COUNT(Ocena!$L$108:$O$108)=4,COUNTIF(Ocena!$L$108:$O$108,0)=4),1,0)+IF(AND(COUNT(Ocena!$L$126:$O$126)=4,COUNTIF(Ocena!$L$126:$O$126,0)=4),1,0)+IF(AND(COUNT(Ocena!$L$144:$O$144)=4,COUNTIF(Ocena!$L$144:$O$144,0)=4),1,0)+IF(AND(COUNT(Ocena!$L$162:$O$162)=4,COUNTIF(Ocena!$L$162:$O$162,0)=4),1,0)</f>
        <v>0</v>
      </c>
      <c r="U19" s="8">
        <f t="shared" si="1"/>
        <v>0</v>
      </c>
    </row>
    <row r="20" spans="1:21" ht="27.95" customHeight="1" x14ac:dyDescent="0.25">
      <c r="A20" s="2" t="s">
        <v>39</v>
      </c>
      <c r="B20" s="10">
        <v>4</v>
      </c>
      <c r="C20" s="10" t="s">
        <v>35</v>
      </c>
      <c r="D20" s="10">
        <v>4</v>
      </c>
      <c r="E20" s="10">
        <v>9</v>
      </c>
      <c r="F20" s="10">
        <f>COUNT(Ocena!$P$19,Ocena!$P$37,Ocena!$P$55,Ocena!$P$73,Ocena!$P$91,Ocena!$P$109,Ocena!$P$127,Ocena!$P$145,Ocena!$P$163)</f>
        <v>9</v>
      </c>
      <c r="G20" s="8">
        <f t="shared" si="0"/>
        <v>1</v>
      </c>
      <c r="H20" s="9">
        <f>IF(F20=0,"",MEDIAN(Ocena!$P$19,Ocena!$P$37,Ocena!$P$55,Ocena!$P$73,Ocena!$P$91,Ocena!$P$109,Ocena!$P$127,Ocena!$P$145,Ocena!$P$163))</f>
        <v>8</v>
      </c>
      <c r="I20" s="9">
        <f>IF(F20=0,"",AVERAGE(Ocena!$P$19,Ocena!$P$37,Ocena!$P$55,Ocena!$P$73,Ocena!$P$91,Ocena!$P$109,Ocena!$P$127,Ocena!$P$145,Ocena!$P$163))</f>
        <v>8</v>
      </c>
      <c r="J20" s="9">
        <f>IF(F20=0,"",MEDIAN(Ocena!$L$19,Ocena!$L$37,Ocena!$L$55,Ocena!$L$73,Ocena!$L$91,Ocena!$L$109,Ocena!$L$127,Ocena!$L$145,Ocena!$L$163))</f>
        <v>3</v>
      </c>
      <c r="K20" s="9">
        <f>IF(F20=0,"",AVERAGE(Ocena!$L$19,Ocena!$L$37,Ocena!$L$55,Ocena!$L$73,Ocena!$L$91,Ocena!$L$109,Ocena!$L$127,Ocena!$L$145,Ocena!$L$163))</f>
        <v>2.5555555555555554</v>
      </c>
      <c r="L20" s="9">
        <f>IF(F20=0,"",MEDIAN(Ocena!$M$19,Ocena!$M$37,Ocena!$M$55,Ocena!$M$73,Ocena!$M$91,Ocena!$M$109,Ocena!$M$127,Ocena!$M$145,Ocena!$M$163))</f>
        <v>2</v>
      </c>
      <c r="M20" s="9">
        <f>IF(F20=0,"",AVERAGE(Ocena!$M$19,Ocena!$M$37,Ocena!$M$55,Ocena!$M$73,Ocena!$M$91,Ocena!$M$109,Ocena!$M$127,Ocena!$M$145,Ocena!$M$163))</f>
        <v>1.6666666666666667</v>
      </c>
      <c r="N20" s="9">
        <f>IF(F20=0,"",MEDIAN(Ocena!$N$19,Ocena!$N$37,Ocena!$N$55,Ocena!$N$73,Ocena!$N$91,Ocena!$N$109,Ocena!$N$127,Ocena!$N$145,Ocena!$N$163))</f>
        <v>2</v>
      </c>
      <c r="O20" s="9">
        <f>IF(F20=0,"",AVERAGE(Ocena!$N$19,Ocena!$N$37,Ocena!$N$55,Ocena!$N$73,Ocena!$N$91,Ocena!$N$109,Ocena!$N$127,Ocena!$N$145,Ocena!$N$163))</f>
        <v>1.7777777777777777</v>
      </c>
      <c r="P20" s="9">
        <f>IF(F20=0,"",MEDIAN(Ocena!$O$19,Ocena!$O$37,Ocena!$O$55,Ocena!$O$73,Ocena!$O$91,Ocena!$O$109,Ocena!$O$127,Ocena!$O$145,Ocena!$O$163))</f>
        <v>2</v>
      </c>
      <c r="Q20" s="9">
        <f>IF(F20=0,"",AVERAGE(Ocena!$O$19,Ocena!$O$37,Ocena!$O$55,Ocena!$O$73,Ocena!$O$91,Ocena!$O$109,Ocena!$O$127,Ocena!$O$145,Ocena!$O$163))</f>
        <v>2</v>
      </c>
      <c r="R20" s="9">
        <f>IF(F20=0,"",MIN(Ocena!$P$19,Ocena!$P$37,Ocena!$P$55,Ocena!$P$73,Ocena!$P$91,Ocena!$P$109,Ocena!$P$127,Ocena!$P$145,Ocena!$P$163))</f>
        <v>7</v>
      </c>
      <c r="S20" s="9">
        <f>IF(F20=0,"",MAX(Ocena!$P$19,Ocena!$P$37,Ocena!$P$55,Ocena!$P$73,Ocena!$P$91,Ocena!$P$109,Ocena!$P$127,Ocena!$P$145,Ocena!$P$163))</f>
        <v>10</v>
      </c>
      <c r="T20" s="10">
        <f>IF(AND(COUNT(Ocena!$L$19:$O$19)=4,COUNTIF(Ocena!$L$19:$O$19,0)=4),1,0)+IF(AND(COUNT(Ocena!$L$37:$O$37)=4,COUNTIF(Ocena!$L$37:$O$37,0)=4),1,0)+IF(AND(COUNT(Ocena!$L$55:$O$55)=4,COUNTIF(Ocena!$L$55:$O$55,0)=4),1,0)+IF(AND(COUNT(Ocena!$L$73:$O$73)=4,COUNTIF(Ocena!$L$73:$O$73,0)=4),1,0)+IF(AND(COUNT(Ocena!$L$91:$O$91)=4,COUNTIF(Ocena!$L$91:$O$91,0)=4),1,0)+IF(AND(COUNT(Ocena!$L$109:$O$109)=4,COUNTIF(Ocena!$L$109:$O$109,0)=4),1,0)+IF(AND(COUNT(Ocena!$L$127:$O$127)=4,COUNTIF(Ocena!$L$127:$O$127,0)=4),1,0)+IF(AND(COUNT(Ocena!$L$145:$O$145)=4,COUNTIF(Ocena!$L$145:$O$145,0)=4),1,0)+IF(AND(COUNT(Ocena!$L$163:$O$163)=4,COUNTIF(Ocena!$L$163:$O$163,0)=4),1,0)</f>
        <v>0</v>
      </c>
      <c r="U20" s="8">
        <f t="shared" si="1"/>
        <v>0</v>
      </c>
    </row>
    <row r="22" spans="1:21" ht="39.950000000000003" customHeight="1" x14ac:dyDescent="0.25">
      <c r="A22" s="16" t="s">
        <v>250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</sheetData>
  <mergeCells count="2">
    <mergeCell ref="A1:U1"/>
    <mergeCell ref="A22:U22"/>
  </mergeCells>
  <conditionalFormatting sqref="G3:G20">
    <cfRule type="dataBar" priority="1">
      <dataBar>
        <cfvo type="num" val="0"/>
        <cfvo type="num" val="1"/>
        <color rgb="FF5B9BD5"/>
      </dataBar>
    </cfRule>
  </conditionalFormatting>
  <conditionalFormatting sqref="H3:I20">
    <cfRule type="colorScale" priority="2">
      <colorScale>
        <cfvo type="num" val="0"/>
        <cfvo type="num" val="6"/>
        <cfvo type="num" val="12"/>
        <color rgb="FFF8696B"/>
        <color rgb="FFFFEB84"/>
        <color rgb="FF63BE7B"/>
      </colorScale>
    </cfRule>
  </conditionalFormatting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Ocena</vt:lpstr>
      <vt:lpstr>Skala</vt:lpstr>
      <vt:lpstr>Podsumowanie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Snopkowski Kamil (STUD)</cp:lastModifiedBy>
  <dcterms:modified xsi:type="dcterms:W3CDTF">2026-08-13T17:51:42Z</dcterms:modified>
</cp:coreProperties>
</file>